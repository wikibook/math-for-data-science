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현재_통합_문서" defaultThemeVersion="124226"/>
  <bookViews>
    <workbookView xWindow="480" yWindow="84" windowWidth="22056" windowHeight="9264" tabRatio="813" firstSheet="8" activeTab="12"/>
  </bookViews>
  <sheets>
    <sheet name="기초통계량" sheetId="3" r:id="rId1"/>
    <sheet name="정규분포와 시그마" sheetId="2" r:id="rId2"/>
    <sheet name="데이터 표준화" sheetId="1" r:id="rId3"/>
    <sheet name="공분산" sheetId="5" r:id="rId4"/>
    <sheet name="상관계수" sheetId="4" r:id="rId5"/>
    <sheet name="행렬" sheetId="16" r:id="rId6"/>
    <sheet name="주성분분석" sheetId="15" r:id="rId7"/>
    <sheet name="고유값고유벡터" sheetId="6" r:id="rId8"/>
    <sheet name="MTS" sheetId="8" r:id="rId9"/>
    <sheet name="MTS (상관행렬)" sheetId="23" r:id="rId10"/>
    <sheet name="단순회귀분석" sheetId="10" r:id="rId11"/>
    <sheet name="다중회귀분석" sheetId="11" r:id="rId12"/>
    <sheet name="PCR" sheetId="12" r:id="rId13"/>
    <sheet name="PLS" sheetId="13" r:id="rId14"/>
    <sheet name="마할라노비스거리계산" sheetId="24" r:id="rId15"/>
  </sheets>
  <calcPr calcId="145621"/>
</workbook>
</file>

<file path=xl/calcChain.xml><?xml version="1.0" encoding="utf-8"?>
<calcChain xmlns="http://schemas.openxmlformats.org/spreadsheetml/2006/main">
  <c r="B19" i="12" l="1"/>
  <c r="B2" i="12"/>
  <c r="C2" i="12"/>
  <c r="D2" i="12"/>
  <c r="E2" i="12"/>
  <c r="H19" i="12"/>
  <c r="G5" i="12" a="1"/>
  <c r="G5" i="12" s="1"/>
  <c r="G11" i="12" l="1"/>
  <c r="G10" i="12"/>
  <c r="G9" i="12"/>
  <c r="G16" i="12"/>
  <c r="G8" i="12"/>
  <c r="G12" i="12"/>
  <c r="G15" i="12"/>
  <c r="G7" i="12"/>
  <c r="G14" i="12"/>
  <c r="G6" i="12"/>
  <c r="G13" i="12"/>
  <c r="G17" i="23"/>
  <c r="AA7" i="3" l="1"/>
  <c r="AA6" i="3"/>
  <c r="AA5" i="3"/>
  <c r="N26" i="8" a="1"/>
  <c r="N26" i="8" s="1"/>
  <c r="N25" i="8" a="1"/>
  <c r="O25" i="8" s="1"/>
  <c r="N24" i="8" a="1"/>
  <c r="O24" i="8" s="1"/>
  <c r="N23" i="8" a="1"/>
  <c r="N23" i="8" s="1"/>
  <c r="D10" i="24" a="1"/>
  <c r="D11" i="24" s="1"/>
  <c r="O5" i="2"/>
  <c r="N5" i="2"/>
  <c r="M5" i="2"/>
  <c r="L5" i="2"/>
  <c r="K5" i="2"/>
  <c r="J5" i="2"/>
  <c r="I5" i="2"/>
  <c r="H5" i="2"/>
  <c r="G5" i="2"/>
  <c r="F5" i="2"/>
  <c r="E5" i="2"/>
  <c r="D5" i="2"/>
  <c r="O4" i="2"/>
  <c r="N4" i="2"/>
  <c r="M4" i="2"/>
  <c r="L4" i="2"/>
  <c r="K4" i="2"/>
  <c r="J4" i="2"/>
  <c r="I4" i="2"/>
  <c r="H4" i="2"/>
  <c r="G4" i="2"/>
  <c r="F4" i="2"/>
  <c r="E4" i="2"/>
  <c r="D4" i="2"/>
  <c r="O3" i="2"/>
  <c r="N3" i="2"/>
  <c r="M3" i="2"/>
  <c r="L3" i="2"/>
  <c r="K3" i="2"/>
  <c r="J3" i="2"/>
  <c r="I3" i="2"/>
  <c r="H3" i="2"/>
  <c r="G3" i="2"/>
  <c r="F3" i="2"/>
  <c r="E3" i="2"/>
  <c r="D3" i="2"/>
  <c r="C5" i="2"/>
  <c r="C4" i="2"/>
  <c r="C3" i="2"/>
  <c r="D1" i="2"/>
  <c r="E1" i="2"/>
  <c r="F1" i="2"/>
  <c r="G1" i="2"/>
  <c r="H1" i="2"/>
  <c r="I1" i="2"/>
  <c r="J1" i="2"/>
  <c r="K1" i="2"/>
  <c r="L1" i="2"/>
  <c r="M1" i="2"/>
  <c r="N1" i="2"/>
  <c r="O1" i="2"/>
  <c r="D2" i="2"/>
  <c r="E2" i="2"/>
  <c r="F2" i="2"/>
  <c r="G2" i="2"/>
  <c r="H2" i="2"/>
  <c r="I2" i="2"/>
  <c r="J2" i="2"/>
  <c r="K2" i="2"/>
  <c r="L2" i="2"/>
  <c r="M2" i="2"/>
  <c r="N2" i="2"/>
  <c r="O2" i="2"/>
  <c r="C2" i="2"/>
  <c r="C1" i="2"/>
  <c r="O26" i="8" l="1"/>
  <c r="N24" i="8"/>
  <c r="N25" i="8"/>
  <c r="O23" i="8"/>
  <c r="E11" i="24"/>
  <c r="D10" i="24"/>
  <c r="E10" i="24"/>
  <c r="B23" i="15"/>
  <c r="AM4" i="23" a="1"/>
  <c r="AN4" i="23" s="1"/>
  <c r="AM4" i="23"/>
  <c r="AM5" i="23" a="1"/>
  <c r="AN5" i="23" s="1"/>
  <c r="AM5" i="23"/>
  <c r="AM6" i="23" a="1"/>
  <c r="AN6" i="23" s="1"/>
  <c r="AM6" i="23"/>
  <c r="AM7" i="23" a="1"/>
  <c r="AN7" i="23" s="1"/>
  <c r="AM7" i="23"/>
  <c r="AM8" i="23" a="1"/>
  <c r="AN8" i="23" s="1"/>
  <c r="AM8" i="23"/>
  <c r="AM9" i="23" a="1"/>
  <c r="AN9" i="23" s="1"/>
  <c r="AM9" i="23"/>
  <c r="AM10" i="23" a="1"/>
  <c r="AN10" i="23" s="1"/>
  <c r="AM10" i="23"/>
  <c r="AM11" i="23" a="1"/>
  <c r="AN11" i="23" s="1"/>
  <c r="AM11" i="23"/>
  <c r="AM3" i="23" a="1"/>
  <c r="AM3" i="23" s="1"/>
  <c r="Q12" i="13"/>
  <c r="G2" i="24" l="1" a="1"/>
  <c r="G2" i="24" s="1"/>
  <c r="AO11" i="23"/>
  <c r="AO9" i="23"/>
  <c r="AO7" i="23"/>
  <c r="AO5" i="23"/>
  <c r="AO10" i="23"/>
  <c r="AO8" i="23"/>
  <c r="AO6" i="23"/>
  <c r="AO4" i="23"/>
  <c r="AO3" i="23"/>
  <c r="AN3" i="23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H2" i="24" l="1"/>
  <c r="J2" i="24" s="1"/>
  <c r="L2" i="24" s="1"/>
  <c r="V87" i="13" a="1"/>
  <c r="V54" i="13" a="1"/>
  <c r="V21" i="13" a="1"/>
  <c r="V16" i="11" l="1"/>
  <c r="V15" i="11"/>
  <c r="V14" i="11"/>
  <c r="V13" i="11"/>
  <c r="V12" i="11"/>
  <c r="V11" i="11"/>
  <c r="V10" i="11"/>
  <c r="V9" i="11"/>
  <c r="V8" i="11"/>
  <c r="V7" i="11"/>
  <c r="V6" i="11"/>
  <c r="V5" i="11"/>
  <c r="J17" i="8"/>
  <c r="K17" i="8"/>
  <c r="J18" i="8"/>
  <c r="K18" i="8"/>
  <c r="AG41" i="16"/>
  <c r="X45" i="16" a="1"/>
  <c r="X45" i="16" s="1"/>
  <c r="P40" i="16" a="1"/>
  <c r="P40" i="16" s="1"/>
  <c r="X35" i="16" a="1"/>
  <c r="X35" i="16" s="1"/>
  <c r="P30" i="16" a="1"/>
  <c r="P30" i="16" s="1"/>
  <c r="H14" i="16" a="1"/>
  <c r="H14" i="16" s="1"/>
  <c r="H10" i="16" a="1"/>
  <c r="H10" i="16" s="1"/>
  <c r="X12" i="3"/>
  <c r="W12" i="3"/>
  <c r="V12" i="3"/>
  <c r="S8" i="3"/>
  <c r="R8" i="3"/>
  <c r="W18" i="11" l="1"/>
  <c r="Y47" i="16"/>
  <c r="Y46" i="16"/>
  <c r="X46" i="16"/>
  <c r="Y45" i="16"/>
  <c r="X47" i="16"/>
  <c r="Z46" i="16"/>
  <c r="Z45" i="16"/>
  <c r="Z47" i="16"/>
  <c r="P42" i="16"/>
  <c r="Q41" i="16"/>
  <c r="R40" i="16"/>
  <c r="Q42" i="16"/>
  <c r="Q40" i="16"/>
  <c r="R41" i="16"/>
  <c r="P41" i="16"/>
  <c r="R42" i="16"/>
  <c r="Y37" i="16"/>
  <c r="Y36" i="16"/>
  <c r="Z35" i="16"/>
  <c r="Z36" i="16"/>
  <c r="Y35" i="16"/>
  <c r="X37" i="16"/>
  <c r="X36" i="16"/>
  <c r="Z37" i="16"/>
  <c r="Q32" i="16"/>
  <c r="P32" i="16"/>
  <c r="R31" i="16"/>
  <c r="Q31" i="16"/>
  <c r="P31" i="16"/>
  <c r="R30" i="16"/>
  <c r="Q30" i="16"/>
  <c r="R32" i="16"/>
  <c r="I14" i="16"/>
  <c r="I15" i="16"/>
  <c r="H15" i="16"/>
  <c r="I11" i="16"/>
  <c r="H11" i="16"/>
  <c r="I10" i="16"/>
  <c r="H30" i="13"/>
  <c r="H31" i="13"/>
  <c r="H32" i="13"/>
  <c r="H33" i="13"/>
  <c r="H34" i="13"/>
  <c r="H35" i="13"/>
  <c r="H36" i="13"/>
  <c r="H37" i="13"/>
  <c r="H38" i="13"/>
  <c r="H39" i="13"/>
  <c r="H40" i="13"/>
  <c r="H41" i="13"/>
  <c r="R7" i="13"/>
  <c r="R8" i="13"/>
  <c r="H26" i="13" s="1"/>
  <c r="R9" i="13"/>
  <c r="H27" i="13" s="1"/>
  <c r="Q7" i="13" a="1"/>
  <c r="Q7" i="13" s="1"/>
  <c r="Q1" i="13" a="1"/>
  <c r="T1" i="13" s="1"/>
  <c r="A16" i="12"/>
  <c r="A15" i="12"/>
  <c r="A14" i="12"/>
  <c r="A13" i="12"/>
  <c r="A12" i="12"/>
  <c r="A11" i="12"/>
  <c r="A10" i="12"/>
  <c r="A9" i="12"/>
  <c r="A8" i="12"/>
  <c r="A7" i="12"/>
  <c r="A6" i="12"/>
  <c r="A5" i="12"/>
  <c r="R42" i="12" a="1"/>
  <c r="R42" i="12" s="1"/>
  <c r="O42" i="12" a="1"/>
  <c r="O43" i="12" s="1"/>
  <c r="K42" i="12" a="1"/>
  <c r="K42" i="12" s="1"/>
  <c r="Q11" i="12"/>
  <c r="R11" i="12"/>
  <c r="S11" i="12"/>
  <c r="Q12" i="12"/>
  <c r="R12" i="12"/>
  <c r="S12" i="12" s="1"/>
  <c r="H17" i="12"/>
  <c r="I17" i="12"/>
  <c r="J17" i="12"/>
  <c r="K17" i="12"/>
  <c r="H18" i="12"/>
  <c r="I18" i="12"/>
  <c r="J18" i="12"/>
  <c r="K18" i="12"/>
  <c r="H5" i="12"/>
  <c r="I5" i="12"/>
  <c r="J5" i="12"/>
  <c r="K5" i="12"/>
  <c r="H6" i="12"/>
  <c r="I6" i="12"/>
  <c r="J6" i="12"/>
  <c r="K6" i="12"/>
  <c r="H7" i="12"/>
  <c r="I7" i="12"/>
  <c r="J7" i="12"/>
  <c r="R5" i="12" s="1"/>
  <c r="K7" i="12"/>
  <c r="H8" i="12"/>
  <c r="I8" i="12"/>
  <c r="J8" i="12"/>
  <c r="K8" i="12"/>
  <c r="H9" i="12"/>
  <c r="H27" i="12" s="1"/>
  <c r="I9" i="12"/>
  <c r="J9" i="12"/>
  <c r="K9" i="12"/>
  <c r="H10" i="12"/>
  <c r="I10" i="12"/>
  <c r="J10" i="12"/>
  <c r="K10" i="12"/>
  <c r="S6" i="12" s="1"/>
  <c r="H11" i="12"/>
  <c r="I11" i="12"/>
  <c r="J11" i="12"/>
  <c r="K11" i="12"/>
  <c r="H12" i="12"/>
  <c r="I12" i="12"/>
  <c r="J12" i="12"/>
  <c r="K12" i="12"/>
  <c r="H13" i="12"/>
  <c r="H31" i="12" s="1"/>
  <c r="I13" i="12"/>
  <c r="J13" i="12"/>
  <c r="K13" i="12"/>
  <c r="H14" i="12"/>
  <c r="I14" i="12"/>
  <c r="J14" i="12"/>
  <c r="K14" i="12"/>
  <c r="I23" i="12" s="1" a="1"/>
  <c r="K23" i="12" s="1"/>
  <c r="H15" i="12"/>
  <c r="I15" i="12"/>
  <c r="J15" i="12"/>
  <c r="K15" i="12"/>
  <c r="H16" i="12"/>
  <c r="H34" i="12" s="1"/>
  <c r="I16" i="12"/>
  <c r="J16" i="12"/>
  <c r="K16" i="12"/>
  <c r="Q5" i="12"/>
  <c r="R6" i="12"/>
  <c r="H23" i="12"/>
  <c r="H24" i="12"/>
  <c r="H25" i="12"/>
  <c r="H26" i="12"/>
  <c r="H28" i="12"/>
  <c r="H29" i="12"/>
  <c r="H30" i="12"/>
  <c r="H32" i="12"/>
  <c r="H33" i="12"/>
  <c r="AP6" i="11"/>
  <c r="AO6" i="11"/>
  <c r="AH6" i="11"/>
  <c r="AG6" i="11"/>
  <c r="AL5" i="11"/>
  <c r="AK5" i="11"/>
  <c r="AG5" i="11"/>
  <c r="AG5" i="11" a="1"/>
  <c r="AM11" i="11" s="1"/>
  <c r="H25" i="13" l="1"/>
  <c r="S7" i="13" a="1"/>
  <c r="S10" i="13" s="1"/>
  <c r="Q9" i="13"/>
  <c r="Q8" i="13"/>
  <c r="T4" i="13"/>
  <c r="X3" i="13"/>
  <c r="AB2" i="13"/>
  <c r="T2" i="13"/>
  <c r="X1" i="13"/>
  <c r="W4" i="13"/>
  <c r="AA3" i="13"/>
  <c r="S3" i="13"/>
  <c r="W2" i="13"/>
  <c r="AA1" i="13"/>
  <c r="S1" i="13"/>
  <c r="V4" i="13"/>
  <c r="Z3" i="13"/>
  <c r="R3" i="13"/>
  <c r="V2" i="13"/>
  <c r="Z1" i="13"/>
  <c r="R1" i="13"/>
  <c r="AB4" i="13"/>
  <c r="U4" i="13"/>
  <c r="Y3" i="13"/>
  <c r="Q3" i="13"/>
  <c r="U2" i="13"/>
  <c r="Y1" i="13"/>
  <c r="Q1" i="13"/>
  <c r="AA4" i="13"/>
  <c r="S4" i="13"/>
  <c r="W3" i="13"/>
  <c r="AA2" i="13"/>
  <c r="S2" i="13"/>
  <c r="W1" i="13"/>
  <c r="Z4" i="13"/>
  <c r="R4" i="13"/>
  <c r="V3" i="13"/>
  <c r="Z2" i="13"/>
  <c r="R2" i="13"/>
  <c r="V1" i="13"/>
  <c r="Y4" i="13"/>
  <c r="Q4" i="13"/>
  <c r="U3" i="13"/>
  <c r="Y2" i="13"/>
  <c r="Q2" i="13"/>
  <c r="U1" i="13"/>
  <c r="X4" i="13"/>
  <c r="AB3" i="13"/>
  <c r="T3" i="13"/>
  <c r="X2" i="13"/>
  <c r="AB1" i="13"/>
  <c r="N3" i="12" a="1"/>
  <c r="N3" i="12" s="1"/>
  <c r="R43" i="12"/>
  <c r="O42" i="12"/>
  <c r="L43" i="12"/>
  <c r="K43" i="12"/>
  <c r="L42" i="12"/>
  <c r="R4" i="12"/>
  <c r="Q4" i="12"/>
  <c r="Q6" i="12"/>
  <c r="S5" i="12"/>
  <c r="S4" i="12"/>
  <c r="J31" i="12"/>
  <c r="J25" i="12"/>
  <c r="J29" i="12"/>
  <c r="J33" i="12"/>
  <c r="J27" i="12"/>
  <c r="J23" i="12"/>
  <c r="K32" i="12"/>
  <c r="K30" i="12"/>
  <c r="K28" i="12"/>
  <c r="K26" i="12"/>
  <c r="K24" i="12"/>
  <c r="I33" i="12"/>
  <c r="I31" i="12"/>
  <c r="I29" i="12"/>
  <c r="I27" i="12"/>
  <c r="I25" i="12"/>
  <c r="I23" i="12"/>
  <c r="K34" i="12"/>
  <c r="J34" i="12"/>
  <c r="J32" i="12"/>
  <c r="J30" i="12"/>
  <c r="J28" i="12"/>
  <c r="J26" i="12"/>
  <c r="J24" i="12"/>
  <c r="I34" i="12"/>
  <c r="I32" i="12"/>
  <c r="I30" i="12"/>
  <c r="I28" i="12"/>
  <c r="I26" i="12"/>
  <c r="I24" i="12"/>
  <c r="K33" i="12"/>
  <c r="K31" i="12"/>
  <c r="K29" i="12"/>
  <c r="K27" i="12"/>
  <c r="K25" i="12"/>
  <c r="AN5" i="11"/>
  <c r="AJ6" i="11"/>
  <c r="AR6" i="11"/>
  <c r="AN7" i="11"/>
  <c r="AJ8" i="11"/>
  <c r="AR8" i="11"/>
  <c r="AN9" i="11"/>
  <c r="AJ10" i="11"/>
  <c r="AR10" i="11"/>
  <c r="AN11" i="11"/>
  <c r="AL9" i="11"/>
  <c r="AG7" i="11"/>
  <c r="AP8" i="11"/>
  <c r="AP10" i="11"/>
  <c r="AH5" i="11"/>
  <c r="AP5" i="11"/>
  <c r="AL6" i="11"/>
  <c r="AH7" i="11"/>
  <c r="AP7" i="11"/>
  <c r="AL8" i="11"/>
  <c r="AH9" i="11"/>
  <c r="AP9" i="11"/>
  <c r="AL10" i="11"/>
  <c r="AH11" i="11"/>
  <c r="AP11" i="11"/>
  <c r="AI5" i="11"/>
  <c r="AQ5" i="11"/>
  <c r="AM6" i="11"/>
  <c r="AG14" i="11" s="1" a="1"/>
  <c r="AI7" i="11"/>
  <c r="AQ7" i="11"/>
  <c r="AM8" i="11"/>
  <c r="AI9" i="11"/>
  <c r="AQ9" i="11"/>
  <c r="AM10" i="11"/>
  <c r="AI11" i="11"/>
  <c r="AQ11" i="11"/>
  <c r="AH8" i="11"/>
  <c r="AL11" i="11"/>
  <c r="AO5" i="11"/>
  <c r="AK6" i="11"/>
  <c r="AO7" i="11"/>
  <c r="AK8" i="11"/>
  <c r="AG9" i="11"/>
  <c r="AO9" i="11"/>
  <c r="AK10" i="11"/>
  <c r="AG11" i="11"/>
  <c r="AO11" i="11"/>
  <c r="AJ5" i="11"/>
  <c r="AR5" i="11"/>
  <c r="AN6" i="11"/>
  <c r="AJ7" i="11"/>
  <c r="AR7" i="11"/>
  <c r="AN8" i="11"/>
  <c r="AJ9" i="11"/>
  <c r="AR9" i="11"/>
  <c r="AN10" i="11"/>
  <c r="AJ11" i="11"/>
  <c r="AR11" i="11"/>
  <c r="AK7" i="11"/>
  <c r="AG8" i="11"/>
  <c r="AO8" i="11"/>
  <c r="AK9" i="11"/>
  <c r="AG10" i="11"/>
  <c r="AO10" i="11"/>
  <c r="AK11" i="11"/>
  <c r="AL7" i="11"/>
  <c r="AH10" i="11"/>
  <c r="AO23" i="11" a="1"/>
  <c r="AM5" i="11"/>
  <c r="AI6" i="11"/>
  <c r="AQ6" i="11"/>
  <c r="AM7" i="11"/>
  <c r="AI8" i="11"/>
  <c r="AQ8" i="11"/>
  <c r="AM9" i="11"/>
  <c r="AI10" i="11"/>
  <c r="AQ10" i="11"/>
  <c r="S7" i="13" l="1"/>
  <c r="S16" i="13"/>
  <c r="S9" i="13"/>
  <c r="S17" i="13"/>
  <c r="S11" i="13"/>
  <c r="S14" i="13"/>
  <c r="S18" i="13"/>
  <c r="S12" i="13"/>
  <c r="S15" i="13"/>
  <c r="S13" i="13"/>
  <c r="S8" i="13"/>
  <c r="N4" i="12"/>
  <c r="N5" i="12"/>
  <c r="H37" i="12" a="1"/>
  <c r="AM20" i="11"/>
  <c r="AL19" i="11"/>
  <c r="AK18" i="11"/>
  <c r="AJ17" i="11"/>
  <c r="AI16" i="11"/>
  <c r="AH15" i="11"/>
  <c r="AG14" i="11"/>
  <c r="AL20" i="11"/>
  <c r="AK19" i="11"/>
  <c r="AJ18" i="11"/>
  <c r="AH16" i="11"/>
  <c r="AG15" i="11"/>
  <c r="AI17" i="11"/>
  <c r="AK20" i="11"/>
  <c r="AJ19" i="11"/>
  <c r="AI18" i="11"/>
  <c r="AH17" i="11"/>
  <c r="AG16" i="11"/>
  <c r="AM14" i="11"/>
  <c r="AJ20" i="11"/>
  <c r="AI19" i="11"/>
  <c r="AH18" i="11"/>
  <c r="AG17" i="11"/>
  <c r="AM15" i="11"/>
  <c r="AL14" i="11"/>
  <c r="AH20" i="11"/>
  <c r="AM17" i="11"/>
  <c r="AK15" i="11"/>
  <c r="AI20" i="11"/>
  <c r="AH19" i="11"/>
  <c r="AG18" i="11"/>
  <c r="AM16" i="11"/>
  <c r="AL15" i="11"/>
  <c r="AK14" i="11"/>
  <c r="AG19" i="11"/>
  <c r="AL16" i="11"/>
  <c r="AJ14" i="11"/>
  <c r="AG20" i="11"/>
  <c r="AM18" i="11"/>
  <c r="AL17" i="11"/>
  <c r="AK16" i="11"/>
  <c r="AJ15" i="11"/>
  <c r="AI14" i="11"/>
  <c r="AM19" i="11"/>
  <c r="AL18" i="11"/>
  <c r="AK17" i="11"/>
  <c r="AJ16" i="11"/>
  <c r="AI15" i="11"/>
  <c r="AH14" i="11"/>
  <c r="AO23" i="11"/>
  <c r="AO29" i="11"/>
  <c r="AO28" i="11"/>
  <c r="AO26" i="11"/>
  <c r="AO27" i="11"/>
  <c r="AO25" i="11"/>
  <c r="AO24" i="11"/>
  <c r="T7" i="13" l="1" a="1"/>
  <c r="T8" i="13" s="1"/>
  <c r="W7" i="13" a="1"/>
  <c r="W7" i="13" s="1"/>
  <c r="T12" i="13"/>
  <c r="T7" i="13"/>
  <c r="T9" i="13"/>
  <c r="K37" i="12"/>
  <c r="Q37" i="12"/>
  <c r="N37" i="12"/>
  <c r="S37" i="12"/>
  <c r="I37" i="12"/>
  <c r="Q38" i="12"/>
  <c r="K38" i="12"/>
  <c r="S38" i="12"/>
  <c r="I38" i="12"/>
  <c r="O38" i="12"/>
  <c r="O37" i="12"/>
  <c r="L38" i="12"/>
  <c r="M37" i="12"/>
  <c r="R37" i="12"/>
  <c r="H38" i="12"/>
  <c r="J37" i="12"/>
  <c r="L37" i="12"/>
  <c r="M38" i="12"/>
  <c r="N38" i="12"/>
  <c r="P37" i="12"/>
  <c r="P38" i="12"/>
  <c r="H37" i="12"/>
  <c r="R38" i="12"/>
  <c r="J38" i="12"/>
  <c r="AG23" i="11" a="1"/>
  <c r="X7" i="13" l="1"/>
  <c r="Q21" i="13" s="1" a="1"/>
  <c r="Q25" i="13" s="1"/>
  <c r="Q23" i="13"/>
  <c r="V23" i="13" s="1"/>
  <c r="Q21" i="13"/>
  <c r="Q28" i="13"/>
  <c r="Q27" i="13"/>
  <c r="V27" i="13" s="1"/>
  <c r="Q30" i="13"/>
  <c r="V30" i="13" s="1"/>
  <c r="Q32" i="13"/>
  <c r="Q26" i="13"/>
  <c r="Q29" i="13"/>
  <c r="Q24" i="13"/>
  <c r="V7" i="13"/>
  <c r="V9" i="13"/>
  <c r="V8" i="13"/>
  <c r="V26" i="13"/>
  <c r="V32" i="13"/>
  <c r="V28" i="13"/>
  <c r="H42" i="12" a="1"/>
  <c r="AG29" i="11"/>
  <c r="AM27" i="11"/>
  <c r="AL26" i="11"/>
  <c r="AK25" i="11"/>
  <c r="AJ24" i="11"/>
  <c r="AI23" i="11"/>
  <c r="AM28" i="11"/>
  <c r="AL27" i="11"/>
  <c r="AK26" i="11"/>
  <c r="AJ25" i="11"/>
  <c r="AH23" i="11"/>
  <c r="AI24" i="11"/>
  <c r="AM29" i="11"/>
  <c r="AL28" i="11"/>
  <c r="AK27" i="11"/>
  <c r="AJ26" i="11"/>
  <c r="AI25" i="11"/>
  <c r="AH24" i="11"/>
  <c r="AG23" i="11"/>
  <c r="AL29" i="11"/>
  <c r="AK28" i="11"/>
  <c r="AJ27" i="11"/>
  <c r="AI26" i="11"/>
  <c r="AH25" i="11"/>
  <c r="AG24" i="11"/>
  <c r="AK29" i="11"/>
  <c r="AJ28" i="11"/>
  <c r="AI27" i="11"/>
  <c r="AH26" i="11"/>
  <c r="AG25" i="11"/>
  <c r="AM23" i="11"/>
  <c r="AJ29" i="11"/>
  <c r="AI28" i="11"/>
  <c r="AH27" i="11"/>
  <c r="AG26" i="11"/>
  <c r="AM24" i="11"/>
  <c r="AL23" i="11"/>
  <c r="AI29" i="11"/>
  <c r="AH28" i="11"/>
  <c r="AG27" i="11"/>
  <c r="AM25" i="11"/>
  <c r="AL24" i="11"/>
  <c r="AK23" i="11"/>
  <c r="AH29" i="11"/>
  <c r="AG28" i="11"/>
  <c r="AM26" i="11"/>
  <c r="AL25" i="11"/>
  <c r="AK24" i="11"/>
  <c r="AJ23" i="11"/>
  <c r="W11" i="13" l="1" a="1"/>
  <c r="W11" i="13" s="1"/>
  <c r="Q31" i="13"/>
  <c r="Q22" i="13"/>
  <c r="V24" i="13"/>
  <c r="V29" i="13"/>
  <c r="V21" i="13"/>
  <c r="V25" i="13"/>
  <c r="R21" i="13" a="1"/>
  <c r="S29" i="13" s="1"/>
  <c r="X11" i="13"/>
  <c r="Y11" i="13"/>
  <c r="I42" i="12"/>
  <c r="H42" i="12"/>
  <c r="H43" i="12"/>
  <c r="I43" i="12"/>
  <c r="AQ23" i="11" a="1"/>
  <c r="V31" i="13" l="1"/>
  <c r="V22" i="13"/>
  <c r="S24" i="13"/>
  <c r="R26" i="13"/>
  <c r="S27" i="13"/>
  <c r="X27" i="13" s="1"/>
  <c r="S21" i="13"/>
  <c r="X21" i="13" s="1"/>
  <c r="R27" i="13"/>
  <c r="W27" i="13" s="1"/>
  <c r="T28" i="13"/>
  <c r="R30" i="13"/>
  <c r="T31" i="13"/>
  <c r="T25" i="13"/>
  <c r="S23" i="13"/>
  <c r="X23" i="13" s="1"/>
  <c r="S30" i="13"/>
  <c r="X30" i="13" s="1"/>
  <c r="S26" i="13"/>
  <c r="X26" i="13" s="1"/>
  <c r="R24" i="13"/>
  <c r="T32" i="13"/>
  <c r="S31" i="13"/>
  <c r="R29" i="13"/>
  <c r="T22" i="13"/>
  <c r="S28" i="13"/>
  <c r="X28" i="13" s="1"/>
  <c r="R21" i="13"/>
  <c r="T27" i="13"/>
  <c r="Y27" i="13" s="1"/>
  <c r="S25" i="13"/>
  <c r="T30" i="13"/>
  <c r="Y30" i="13" s="1"/>
  <c r="T24" i="13"/>
  <c r="Y24" i="13" s="1"/>
  <c r="T26" i="13"/>
  <c r="T21" i="13"/>
  <c r="Y21" i="13" s="1"/>
  <c r="R23" i="13"/>
  <c r="S32" i="13"/>
  <c r="X32" i="13" s="1"/>
  <c r="R28" i="13"/>
  <c r="T29" i="13"/>
  <c r="Y29" i="13" s="1"/>
  <c r="R31" i="13"/>
  <c r="W31" i="13" s="1"/>
  <c r="R25" i="13"/>
  <c r="S22" i="13"/>
  <c r="R32" i="13"/>
  <c r="R22" i="13"/>
  <c r="T23" i="13"/>
  <c r="Y23" i="13" s="1"/>
  <c r="W29" i="13"/>
  <c r="Y26" i="13"/>
  <c r="X24" i="13"/>
  <c r="W32" i="13"/>
  <c r="X29" i="13"/>
  <c r="W24" i="13"/>
  <c r="Y22" i="13"/>
  <c r="W21" i="13"/>
  <c r="X25" i="13"/>
  <c r="W25" i="13"/>
  <c r="W26" i="13"/>
  <c r="X22" i="13"/>
  <c r="W22" i="13"/>
  <c r="W30" i="13"/>
  <c r="Y31" i="13"/>
  <c r="Y25" i="13"/>
  <c r="AQ23" i="11"/>
  <c r="X2" i="11" s="1"/>
  <c r="AQ29" i="11"/>
  <c r="AD2" i="11" s="1"/>
  <c r="AQ28" i="11"/>
  <c r="AC2" i="11" s="1"/>
  <c r="AQ27" i="11"/>
  <c r="AB2" i="11" s="1"/>
  <c r="AQ26" i="11"/>
  <c r="AA2" i="11" s="1"/>
  <c r="AQ25" i="11"/>
  <c r="Z2" i="11" s="1"/>
  <c r="AQ24" i="11"/>
  <c r="Y2" i="11" s="1"/>
  <c r="W28" i="13" l="1"/>
  <c r="X31" i="13"/>
  <c r="Y28" i="13"/>
  <c r="W23" i="13"/>
  <c r="Y32" i="13"/>
  <c r="H4" i="11" a="1"/>
  <c r="M4" i="11" s="1"/>
  <c r="N18" i="10"/>
  <c r="N16" i="10"/>
  <c r="N15" i="10"/>
  <c r="N20" i="10" s="1"/>
  <c r="K7" i="11" l="1"/>
  <c r="O6" i="11"/>
  <c r="S5" i="11"/>
  <c r="K5" i="11"/>
  <c r="O4" i="11"/>
  <c r="P7" i="11"/>
  <c r="H7" i="11"/>
  <c r="L6" i="11"/>
  <c r="P5" i="11"/>
  <c r="H5" i="11"/>
  <c r="L4" i="11"/>
  <c r="O7" i="11"/>
  <c r="S6" i="11"/>
  <c r="K6" i="11"/>
  <c r="O5" i="11"/>
  <c r="S4" i="11"/>
  <c r="K4" i="11"/>
  <c r="N7" i="11"/>
  <c r="R6" i="11"/>
  <c r="J6" i="11"/>
  <c r="N5" i="11"/>
  <c r="R4" i="11"/>
  <c r="J4" i="11"/>
  <c r="M7" i="11"/>
  <c r="Q6" i="11"/>
  <c r="I6" i="11"/>
  <c r="M5" i="11"/>
  <c r="Q4" i="11"/>
  <c r="I4" i="11"/>
  <c r="S7" i="11"/>
  <c r="L7" i="11"/>
  <c r="P6" i="11"/>
  <c r="H6" i="11"/>
  <c r="L5" i="11"/>
  <c r="P4" i="11"/>
  <c r="H4" i="11"/>
  <c r="R7" i="11"/>
  <c r="J7" i="11"/>
  <c r="N6" i="11"/>
  <c r="R5" i="11"/>
  <c r="J5" i="11"/>
  <c r="N4" i="11"/>
  <c r="Q7" i="11"/>
  <c r="I7" i="11"/>
  <c r="M6" i="11"/>
  <c r="Q5" i="11"/>
  <c r="I5" i="11"/>
  <c r="J16" i="10"/>
  <c r="J15" i="10"/>
  <c r="H10" i="23"/>
  <c r="B13" i="23"/>
  <c r="AI6" i="23" s="1"/>
  <c r="C13" i="23"/>
  <c r="AJ11" i="23" s="1"/>
  <c r="D13" i="23"/>
  <c r="AK8" i="23" s="1"/>
  <c r="B14" i="23"/>
  <c r="AI9" i="23" s="1"/>
  <c r="C14" i="23"/>
  <c r="D14" i="23"/>
  <c r="B28" i="23"/>
  <c r="AI22" i="23" s="1"/>
  <c r="C28" i="23"/>
  <c r="D28" i="23"/>
  <c r="D27" i="23"/>
  <c r="AK21" i="23" s="1"/>
  <c r="C27" i="23"/>
  <c r="AJ24" i="23" s="1"/>
  <c r="B27" i="23"/>
  <c r="G22" i="23" s="1"/>
  <c r="H10" i="11" l="1" a="1"/>
  <c r="M17" i="11" a="1"/>
  <c r="J18" i="10"/>
  <c r="I7" i="23"/>
  <c r="AK3" i="23"/>
  <c r="AI19" i="23"/>
  <c r="I24" i="23"/>
  <c r="AJ6" i="23"/>
  <c r="AK11" i="23"/>
  <c r="AK24" i="23"/>
  <c r="G5" i="23"/>
  <c r="H5" i="23"/>
  <c r="G8" i="23"/>
  <c r="I10" i="23"/>
  <c r="I19" i="23"/>
  <c r="H22" i="23"/>
  <c r="G25" i="23"/>
  <c r="AI4" i="23"/>
  <c r="AK6" i="23"/>
  <c r="AJ9" i="23"/>
  <c r="AI17" i="23"/>
  <c r="AK19" i="23"/>
  <c r="AJ22" i="23"/>
  <c r="AI25" i="23"/>
  <c r="G3" i="23"/>
  <c r="I5" i="23"/>
  <c r="H8" i="23"/>
  <c r="G11" i="23"/>
  <c r="H17" i="23"/>
  <c r="H27" i="23" s="1"/>
  <c r="G20" i="23"/>
  <c r="I22" i="23"/>
  <c r="H25" i="23"/>
  <c r="AJ4" i="23"/>
  <c r="AI7" i="23"/>
  <c r="AK9" i="23"/>
  <c r="AJ17" i="23"/>
  <c r="AI20" i="23"/>
  <c r="AK22" i="23"/>
  <c r="AJ25" i="23"/>
  <c r="H3" i="23"/>
  <c r="G6" i="23"/>
  <c r="I8" i="23"/>
  <c r="H11" i="23"/>
  <c r="I17" i="23"/>
  <c r="H20" i="23"/>
  <c r="G23" i="23"/>
  <c r="I25" i="23"/>
  <c r="AK4" i="23"/>
  <c r="AJ7" i="23"/>
  <c r="AI10" i="23"/>
  <c r="AK17" i="23"/>
  <c r="AJ20" i="23"/>
  <c r="AI23" i="23"/>
  <c r="AK25" i="23"/>
  <c r="I3" i="23"/>
  <c r="H6" i="23"/>
  <c r="G9" i="23"/>
  <c r="I11" i="23"/>
  <c r="G18" i="23"/>
  <c r="I20" i="23"/>
  <c r="H23" i="23"/>
  <c r="G26" i="23"/>
  <c r="AI5" i="23"/>
  <c r="AK7" i="23"/>
  <c r="AJ10" i="23"/>
  <c r="AI18" i="23"/>
  <c r="AK20" i="23"/>
  <c r="AJ23" i="23"/>
  <c r="H19" i="23"/>
  <c r="G4" i="23"/>
  <c r="I6" i="23"/>
  <c r="H9" i="23"/>
  <c r="G12" i="23"/>
  <c r="H18" i="23"/>
  <c r="G21" i="23"/>
  <c r="I23" i="23"/>
  <c r="H26" i="23"/>
  <c r="AJ5" i="23"/>
  <c r="AI8" i="23"/>
  <c r="AK10" i="23"/>
  <c r="AJ18" i="23"/>
  <c r="AI21" i="23"/>
  <c r="AK23" i="23"/>
  <c r="H4" i="23"/>
  <c r="G7" i="23"/>
  <c r="I9" i="23"/>
  <c r="H12" i="23"/>
  <c r="I18" i="23"/>
  <c r="I27" i="23" s="1"/>
  <c r="H21" i="23"/>
  <c r="G24" i="23"/>
  <c r="I26" i="23"/>
  <c r="AI3" i="23"/>
  <c r="AK5" i="23"/>
  <c r="AJ8" i="23"/>
  <c r="AI11" i="23"/>
  <c r="AK18" i="23"/>
  <c r="AJ21" i="23"/>
  <c r="AI24" i="23"/>
  <c r="AJ19" i="23"/>
  <c r="I4" i="23"/>
  <c r="H7" i="23"/>
  <c r="G10" i="23"/>
  <c r="I12" i="23"/>
  <c r="G19" i="23"/>
  <c r="I21" i="23"/>
  <c r="H24" i="23"/>
  <c r="AJ3" i="23"/>
  <c r="G13" i="23"/>
  <c r="G19" i="8"/>
  <c r="F19" i="8"/>
  <c r="C19" i="8"/>
  <c r="B19" i="8"/>
  <c r="I10" i="11" l="1"/>
  <c r="J12" i="11"/>
  <c r="H13" i="11"/>
  <c r="H10" i="11"/>
  <c r="H17" i="11" s="1" a="1"/>
  <c r="J10" i="11"/>
  <c r="K13" i="11"/>
  <c r="H11" i="11"/>
  <c r="J11" i="11"/>
  <c r="H12" i="11"/>
  <c r="I11" i="11"/>
  <c r="K10" i="11"/>
  <c r="K11" i="11"/>
  <c r="J13" i="11"/>
  <c r="I12" i="11"/>
  <c r="K12" i="11"/>
  <c r="I13" i="11"/>
  <c r="M18" i="11"/>
  <c r="M19" i="11"/>
  <c r="M17" i="11"/>
  <c r="M20" i="11"/>
  <c r="I14" i="23"/>
  <c r="H13" i="23"/>
  <c r="G27" i="23"/>
  <c r="I13" i="23"/>
  <c r="L3" i="23" a="1"/>
  <c r="H14" i="23"/>
  <c r="I28" i="23"/>
  <c r="G14" i="23"/>
  <c r="L17" i="23" a="1"/>
  <c r="H28" i="23"/>
  <c r="G28" i="23"/>
  <c r="S84" i="16" a="1"/>
  <c r="S84" i="16" s="1"/>
  <c r="U74" i="16"/>
  <c r="T74" i="16"/>
  <c r="S74" i="16"/>
  <c r="U73" i="16"/>
  <c r="T73" i="16"/>
  <c r="S73" i="16"/>
  <c r="U72" i="16"/>
  <c r="T72" i="16"/>
  <c r="S72" i="16"/>
  <c r="P78" i="16" a="1"/>
  <c r="P78" i="16" s="1"/>
  <c r="T57" i="16" a="1"/>
  <c r="T57" i="16" s="1"/>
  <c r="T56" i="16"/>
  <c r="R52" i="16" a="1"/>
  <c r="R52" i="16" s="1"/>
  <c r="H17" i="11" l="1"/>
  <c r="H18" i="11"/>
  <c r="J19" i="11"/>
  <c r="J17" i="11"/>
  <c r="I19" i="11"/>
  <c r="J18" i="11"/>
  <c r="K20" i="11"/>
  <c r="H20" i="11"/>
  <c r="J20" i="11"/>
  <c r="K19" i="11"/>
  <c r="K18" i="11"/>
  <c r="I20" i="11"/>
  <c r="K17" i="11"/>
  <c r="I17" i="11"/>
  <c r="I18" i="11"/>
  <c r="H19" i="11"/>
  <c r="U19" i="23"/>
  <c r="O19" i="23"/>
  <c r="Q19" i="23"/>
  <c r="S19" i="23"/>
  <c r="T17" i="23"/>
  <c r="N18" i="23"/>
  <c r="M17" i="23"/>
  <c r="O17" i="23"/>
  <c r="S17" i="23"/>
  <c r="O18" i="23"/>
  <c r="Q18" i="23"/>
  <c r="S18" i="23"/>
  <c r="U18" i="23"/>
  <c r="M19" i="23"/>
  <c r="L17" i="23"/>
  <c r="N17" i="23"/>
  <c r="P17" i="23"/>
  <c r="L18" i="23"/>
  <c r="Q17" i="23"/>
  <c r="R17" i="23"/>
  <c r="R18" i="23"/>
  <c r="T18" i="23"/>
  <c r="L19" i="23"/>
  <c r="P18" i="23"/>
  <c r="P19" i="23"/>
  <c r="R19" i="23"/>
  <c r="T19" i="23"/>
  <c r="N19" i="23"/>
  <c r="U17" i="23"/>
  <c r="M18" i="23"/>
  <c r="L3" i="23"/>
  <c r="R3" i="23"/>
  <c r="P4" i="23"/>
  <c r="O3" i="23"/>
  <c r="R5" i="23"/>
  <c r="P3" i="23"/>
  <c r="O4" i="23"/>
  <c r="S4" i="23"/>
  <c r="S5" i="23"/>
  <c r="N5" i="23"/>
  <c r="M5" i="23"/>
  <c r="M4" i="23"/>
  <c r="L5" i="23"/>
  <c r="Q3" i="23"/>
  <c r="U5" i="23"/>
  <c r="Q5" i="23"/>
  <c r="T4" i="23"/>
  <c r="L4" i="23"/>
  <c r="U4" i="23"/>
  <c r="U3" i="23"/>
  <c r="T5" i="23"/>
  <c r="T3" i="23"/>
  <c r="N3" i="23"/>
  <c r="P5" i="23"/>
  <c r="N4" i="23"/>
  <c r="Q4" i="23"/>
  <c r="M3" i="23"/>
  <c r="R4" i="23"/>
  <c r="O5" i="23"/>
  <c r="S3" i="23"/>
  <c r="S86" i="16"/>
  <c r="T85" i="16"/>
  <c r="S85" i="16"/>
  <c r="U84" i="16"/>
  <c r="T86" i="16"/>
  <c r="U85" i="16"/>
  <c r="T84" i="16"/>
  <c r="U86" i="16"/>
  <c r="P80" i="16"/>
  <c r="V78" i="16"/>
  <c r="U78" i="16"/>
  <c r="V79" i="16"/>
  <c r="V80" i="16"/>
  <c r="U79" i="16"/>
  <c r="T78" i="16"/>
  <c r="P79" i="16"/>
  <c r="U80" i="16"/>
  <c r="T79" i="16"/>
  <c r="S78" i="16"/>
  <c r="T80" i="16"/>
  <c r="S79" i="16"/>
  <c r="R78" i="16"/>
  <c r="Q80" i="16"/>
  <c r="S80" i="16"/>
  <c r="R79" i="16"/>
  <c r="Q78" i="16"/>
  <c r="R80" i="16"/>
  <c r="Q79" i="16"/>
  <c r="W52" i="16"/>
  <c r="V52" i="16"/>
  <c r="U52" i="16"/>
  <c r="T52" i="16"/>
  <c r="S52" i="16"/>
  <c r="O7" i="3"/>
  <c r="N7" i="3"/>
  <c r="M7" i="3"/>
  <c r="L7" i="3"/>
  <c r="K7" i="3"/>
  <c r="J7" i="3"/>
  <c r="I7" i="3"/>
  <c r="H7" i="3"/>
  <c r="G7" i="3"/>
  <c r="F7" i="3"/>
  <c r="E7" i="3"/>
  <c r="D7" i="3"/>
  <c r="C7" i="3"/>
  <c r="BA27" i="16"/>
  <c r="AZ26" i="16"/>
  <c r="BC26" i="16" s="1" a="1"/>
  <c r="BD29" i="16" s="1"/>
  <c r="AZ21" i="16"/>
  <c r="BA21" i="16"/>
  <c r="BA20" i="16"/>
  <c r="BC20" i="16" s="1" a="1"/>
  <c r="BC23" i="16" s="1"/>
  <c r="BI23" i="16" s="1"/>
  <c r="AZ20" i="16"/>
  <c r="BC14" i="16" a="1"/>
  <c r="BD17" i="16" s="1"/>
  <c r="BC8" i="16" a="1"/>
  <c r="BC8" i="16" s="1"/>
  <c r="BB3" i="16" a="1"/>
  <c r="BC3" i="16" s="1"/>
  <c r="L23" i="23" l="1" a="1"/>
  <c r="P17" i="11" a="1"/>
  <c r="L9" i="23" a="1"/>
  <c r="L11" i="23" s="1"/>
  <c r="AZ32" i="16" a="1"/>
  <c r="AZ32" i="16" s="1"/>
  <c r="BA32" i="16"/>
  <c r="BC26" i="16"/>
  <c r="BD26" i="16"/>
  <c r="BC27" i="16"/>
  <c r="BD27" i="16"/>
  <c r="BC28" i="16"/>
  <c r="BD23" i="16"/>
  <c r="BJ23" i="16" s="1"/>
  <c r="BC20" i="16"/>
  <c r="BI20" i="16" s="1"/>
  <c r="BD20" i="16"/>
  <c r="BJ20" i="16" s="1"/>
  <c r="BC21" i="16"/>
  <c r="BI21" i="16" s="1"/>
  <c r="BD21" i="16"/>
  <c r="BJ21" i="16" s="1"/>
  <c r="BC22" i="16"/>
  <c r="BI22" i="16" s="1"/>
  <c r="BD22" i="16"/>
  <c r="BJ22" i="16" s="1"/>
  <c r="BD28" i="16"/>
  <c r="BC29" i="16"/>
  <c r="BC14" i="16"/>
  <c r="BD14" i="16"/>
  <c r="BC15" i="16"/>
  <c r="BD15" i="16"/>
  <c r="BC16" i="16"/>
  <c r="BD16" i="16"/>
  <c r="BC17" i="16"/>
  <c r="BC11" i="16"/>
  <c r="BC10" i="16"/>
  <c r="BD11" i="16"/>
  <c r="BD10" i="16"/>
  <c r="BD9" i="16"/>
  <c r="BC9" i="16"/>
  <c r="BD8" i="16"/>
  <c r="BB3" i="16"/>
  <c r="BE3" i="16" s="1" a="1"/>
  <c r="BE3" i="16" s="1"/>
  <c r="BC4" i="16"/>
  <c r="BB4" i="16"/>
  <c r="AI26" i="16" a="1"/>
  <c r="AI26" i="16" s="1"/>
  <c r="AJ20" i="16" a="1"/>
  <c r="AL22" i="16" s="1"/>
  <c r="AF20" i="16" a="1"/>
  <c r="AF20" i="16" s="1"/>
  <c r="AN15" i="16" a="1"/>
  <c r="AP15" i="16" s="1"/>
  <c r="AJ9" i="16" a="1"/>
  <c r="AL9" i="16" s="1"/>
  <c r="AJ3" i="16" a="1"/>
  <c r="AJ3" i="16" s="1"/>
  <c r="H39" i="16" a="1"/>
  <c r="H39" i="16" s="1"/>
  <c r="H33" i="16" a="1"/>
  <c r="H33" i="16" s="1"/>
  <c r="H26" i="16" a="1"/>
  <c r="H26" i="16" s="1"/>
  <c r="H19" i="16" a="1"/>
  <c r="H19" i="16" s="1"/>
  <c r="E3" i="16" a="1"/>
  <c r="F3" i="16" s="1"/>
  <c r="AB3" i="16" a="1"/>
  <c r="AB3" i="16" s="1"/>
  <c r="X3" i="16" a="1"/>
  <c r="X3" i="16" s="1"/>
  <c r="T45" i="16" a="1"/>
  <c r="T45" i="16" s="1"/>
  <c r="P45" i="16" a="1"/>
  <c r="P45" i="16" s="1"/>
  <c r="T35" i="16" a="1"/>
  <c r="T35" i="16" s="1"/>
  <c r="P35" i="16" a="1"/>
  <c r="P35" i="16" s="1"/>
  <c r="P19" i="16" a="1"/>
  <c r="P19" i="16" s="1"/>
  <c r="P14" i="16" a="1"/>
  <c r="P14" i="16" s="1"/>
  <c r="N24" i="23" l="1"/>
  <c r="L24" i="23"/>
  <c r="M23" i="23"/>
  <c r="M24" i="23"/>
  <c r="N23" i="23"/>
  <c r="N25" i="23"/>
  <c r="L23" i="23"/>
  <c r="M25" i="23"/>
  <c r="L25" i="23"/>
  <c r="P18" i="11"/>
  <c r="D2" i="11" s="1"/>
  <c r="P17" i="11"/>
  <c r="C2" i="11" s="1"/>
  <c r="P20" i="11"/>
  <c r="F2" i="11" s="1"/>
  <c r="P19" i="11"/>
  <c r="E2" i="11" s="1"/>
  <c r="M9" i="23"/>
  <c r="N10" i="23"/>
  <c r="L9" i="23"/>
  <c r="M11" i="23"/>
  <c r="L10" i="23"/>
  <c r="N9" i="23"/>
  <c r="R9" i="23" s="1" a="1"/>
  <c r="N11" i="23"/>
  <c r="M10" i="23"/>
  <c r="BA33" i="16"/>
  <c r="AZ33" i="16"/>
  <c r="BC32" i="16" s="1" a="1"/>
  <c r="Q16" i="16"/>
  <c r="X30" i="16" a="1"/>
  <c r="X30" i="16" s="1"/>
  <c r="X40" i="16" a="1"/>
  <c r="X40" i="16" s="1"/>
  <c r="BE4" i="16"/>
  <c r="AJ27" i="16"/>
  <c r="AI27" i="16"/>
  <c r="AJ26" i="16"/>
  <c r="AL21" i="16"/>
  <c r="AK20" i="16"/>
  <c r="AL20" i="16"/>
  <c r="AJ22" i="16"/>
  <c r="AJ21" i="16"/>
  <c r="AK21" i="16"/>
  <c r="AK22" i="16"/>
  <c r="AJ20" i="16"/>
  <c r="AF22" i="16"/>
  <c r="AH21" i="16"/>
  <c r="AG21" i="16"/>
  <c r="AF21" i="16"/>
  <c r="AH20" i="16"/>
  <c r="AG20" i="16"/>
  <c r="AG22" i="16"/>
  <c r="AH22" i="16"/>
  <c r="AP16" i="16"/>
  <c r="AO16" i="16"/>
  <c r="AN17" i="16"/>
  <c r="AO17" i="16"/>
  <c r="AN16" i="16"/>
  <c r="AN15" i="16"/>
  <c r="AP17" i="16"/>
  <c r="AO15" i="16"/>
  <c r="AJ11" i="16"/>
  <c r="AL10" i="16"/>
  <c r="AK10" i="16"/>
  <c r="AJ10" i="16"/>
  <c r="AK9" i="16"/>
  <c r="AL11" i="16"/>
  <c r="AJ9" i="16"/>
  <c r="AK11" i="16"/>
  <c r="AK5" i="16"/>
  <c r="AJ5" i="16"/>
  <c r="AL4" i="16"/>
  <c r="AK4" i="16"/>
  <c r="AJ4" i="16"/>
  <c r="AL3" i="16"/>
  <c r="AK3" i="16"/>
  <c r="AL5" i="16"/>
  <c r="H40" i="16"/>
  <c r="I34" i="16"/>
  <c r="H34" i="16"/>
  <c r="J34" i="16"/>
  <c r="J33" i="16"/>
  <c r="I35" i="16"/>
  <c r="I33" i="16"/>
  <c r="H35" i="16"/>
  <c r="J35" i="16"/>
  <c r="H27" i="16"/>
  <c r="I27" i="16"/>
  <c r="I26" i="16"/>
  <c r="I20" i="16"/>
  <c r="H20" i="16"/>
  <c r="I19" i="16"/>
  <c r="F4" i="16"/>
  <c r="E4" i="16"/>
  <c r="H5" i="16"/>
  <c r="H3" i="16"/>
  <c r="F5" i="16"/>
  <c r="E5" i="16"/>
  <c r="E3" i="16"/>
  <c r="H4" i="16"/>
  <c r="G4" i="16"/>
  <c r="G5" i="16"/>
  <c r="G3" i="16"/>
  <c r="R16" i="16"/>
  <c r="AC4" i="16"/>
  <c r="AB4" i="16"/>
  <c r="AB5" i="16"/>
  <c r="AD3" i="16"/>
  <c r="AC5" i="16"/>
  <c r="AD4" i="16"/>
  <c r="AC3" i="16"/>
  <c r="AD5" i="16"/>
  <c r="Y5" i="16"/>
  <c r="X5" i="16"/>
  <c r="Z4" i="16"/>
  <c r="Y4" i="16"/>
  <c r="X4" i="16"/>
  <c r="Z3" i="16"/>
  <c r="Y3" i="16"/>
  <c r="Z5" i="16"/>
  <c r="V46" i="16"/>
  <c r="U46" i="16"/>
  <c r="T46" i="16"/>
  <c r="V45" i="16"/>
  <c r="T47" i="16"/>
  <c r="U45" i="16"/>
  <c r="U47" i="16"/>
  <c r="V47" i="16"/>
  <c r="Q47" i="16"/>
  <c r="Q46" i="16"/>
  <c r="P46" i="16"/>
  <c r="P47" i="16"/>
  <c r="R45" i="16"/>
  <c r="Q45" i="16"/>
  <c r="R46" i="16"/>
  <c r="R47" i="16"/>
  <c r="U36" i="16"/>
  <c r="U37" i="16"/>
  <c r="V35" i="16"/>
  <c r="T37" i="16"/>
  <c r="T36" i="16"/>
  <c r="U35" i="16"/>
  <c r="V36" i="16"/>
  <c r="V37" i="16"/>
  <c r="P36" i="16"/>
  <c r="P37" i="16"/>
  <c r="R35" i="16"/>
  <c r="Q36" i="16"/>
  <c r="Q35" i="16"/>
  <c r="Q37" i="16"/>
  <c r="R36" i="16"/>
  <c r="R37" i="16"/>
  <c r="R20" i="16"/>
  <c r="Q21" i="16"/>
  <c r="Q20" i="16"/>
  <c r="Q19" i="16"/>
  <c r="P21" i="16"/>
  <c r="P20" i="16"/>
  <c r="R19" i="16"/>
  <c r="R21" i="16"/>
  <c r="P16" i="16"/>
  <c r="R15" i="16"/>
  <c r="Q15" i="16"/>
  <c r="P15" i="16"/>
  <c r="R14" i="16"/>
  <c r="Q14" i="16"/>
  <c r="X32" i="16" l="1"/>
  <c r="A12" i="11"/>
  <c r="A6" i="11"/>
  <c r="A5" i="11"/>
  <c r="A7" i="11"/>
  <c r="A15" i="11"/>
  <c r="A9" i="11"/>
  <c r="A10" i="11"/>
  <c r="A11" i="11"/>
  <c r="A13" i="11"/>
  <c r="A14" i="11"/>
  <c r="A8" i="11"/>
  <c r="A16" i="11"/>
  <c r="R23" i="23" a="1"/>
  <c r="R10" i="23"/>
  <c r="R9" i="23"/>
  <c r="S10" i="23"/>
  <c r="T11" i="23"/>
  <c r="R11" i="23"/>
  <c r="T10" i="23"/>
  <c r="S9" i="23"/>
  <c r="T9" i="23"/>
  <c r="S11" i="23"/>
  <c r="BC35" i="16"/>
  <c r="BD34" i="16"/>
  <c r="BD33" i="16"/>
  <c r="BC33" i="16"/>
  <c r="BD32" i="16"/>
  <c r="BD35" i="16"/>
  <c r="BC32" i="16"/>
  <c r="BC34" i="16"/>
  <c r="Y42" i="16"/>
  <c r="Y30" i="16"/>
  <c r="X31" i="16"/>
  <c r="Z30" i="16"/>
  <c r="Z32" i="16"/>
  <c r="Z40" i="16"/>
  <c r="Y31" i="16"/>
  <c r="X42" i="16"/>
  <c r="Z31" i="16"/>
  <c r="Y32" i="16"/>
  <c r="Z41" i="16"/>
  <c r="Y40" i="16"/>
  <c r="AR20" i="16" a="1"/>
  <c r="X41" i="16"/>
  <c r="AN3" i="16" a="1"/>
  <c r="AN9" i="16" a="1"/>
  <c r="Y41" i="16"/>
  <c r="Z42" i="16"/>
  <c r="AR15" i="16" a="1"/>
  <c r="AR15" i="16" s="1"/>
  <c r="T14" i="16" a="1"/>
  <c r="T15" i="16" s="1"/>
  <c r="T19" i="16" a="1"/>
  <c r="T19" i="16" s="1"/>
  <c r="Q29" i="15"/>
  <c r="Q30" i="15" s="1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8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B18" i="11" l="1"/>
  <c r="W8" i="23" a="1"/>
  <c r="W7" i="23" a="1"/>
  <c r="W5" i="23" a="1"/>
  <c r="W3" i="23" a="1"/>
  <c r="W12" i="23" a="1"/>
  <c r="W4" i="23" a="1"/>
  <c r="W10" i="23" a="1"/>
  <c r="W9" i="23" a="1"/>
  <c r="W6" i="23" a="1"/>
  <c r="W11" i="23" a="1"/>
  <c r="R23" i="23"/>
  <c r="S23" i="23"/>
  <c r="T25" i="23"/>
  <c r="R24" i="23"/>
  <c r="S24" i="23"/>
  <c r="T24" i="23"/>
  <c r="R25" i="23"/>
  <c r="T23" i="23"/>
  <c r="S25" i="23"/>
  <c r="I36" i="15"/>
  <c r="I40" i="15"/>
  <c r="I29" i="15"/>
  <c r="I31" i="15"/>
  <c r="I33" i="15"/>
  <c r="I35" i="15"/>
  <c r="I37" i="15"/>
  <c r="I39" i="15"/>
  <c r="I41" i="15"/>
  <c r="I43" i="15"/>
  <c r="I45" i="15"/>
  <c r="I47" i="15"/>
  <c r="I34" i="15"/>
  <c r="I46" i="15"/>
  <c r="I44" i="15"/>
  <c r="I28" i="15"/>
  <c r="I30" i="15"/>
  <c r="I32" i="15"/>
  <c r="I38" i="15"/>
  <c r="I42" i="15"/>
  <c r="M28" i="15"/>
  <c r="M30" i="15"/>
  <c r="M32" i="15"/>
  <c r="M34" i="15"/>
  <c r="M36" i="15"/>
  <c r="M38" i="15"/>
  <c r="M40" i="15"/>
  <c r="M42" i="15"/>
  <c r="M44" i="15"/>
  <c r="M46" i="15"/>
  <c r="M37" i="15"/>
  <c r="M43" i="15"/>
  <c r="M47" i="15"/>
  <c r="M35" i="15"/>
  <c r="M41" i="15"/>
  <c r="M39" i="15"/>
  <c r="M29" i="15"/>
  <c r="M31" i="15"/>
  <c r="M33" i="15"/>
  <c r="M45" i="15"/>
  <c r="F28" i="15"/>
  <c r="F30" i="15"/>
  <c r="F32" i="15"/>
  <c r="F34" i="15"/>
  <c r="F36" i="15"/>
  <c r="F38" i="15"/>
  <c r="F40" i="15"/>
  <c r="F42" i="15"/>
  <c r="F44" i="15"/>
  <c r="F46" i="15"/>
  <c r="F29" i="15"/>
  <c r="F31" i="15"/>
  <c r="F33" i="15"/>
  <c r="F35" i="15"/>
  <c r="F37" i="15"/>
  <c r="F39" i="15"/>
  <c r="F41" i="15"/>
  <c r="F43" i="15"/>
  <c r="F45" i="15"/>
  <c r="F47" i="15"/>
  <c r="N28" i="15"/>
  <c r="N30" i="15"/>
  <c r="N32" i="15"/>
  <c r="N34" i="15"/>
  <c r="N36" i="15"/>
  <c r="N38" i="15"/>
  <c r="N40" i="15"/>
  <c r="N42" i="15"/>
  <c r="N44" i="15"/>
  <c r="N46" i="15"/>
  <c r="N29" i="15"/>
  <c r="N31" i="15"/>
  <c r="N33" i="15"/>
  <c r="N35" i="15"/>
  <c r="N37" i="15"/>
  <c r="N39" i="15"/>
  <c r="N41" i="15"/>
  <c r="N43" i="15"/>
  <c r="N45" i="15"/>
  <c r="N47" i="15"/>
  <c r="G28" i="15"/>
  <c r="G30" i="15"/>
  <c r="G32" i="15"/>
  <c r="G34" i="15"/>
  <c r="G36" i="15"/>
  <c r="G38" i="15"/>
  <c r="G40" i="15"/>
  <c r="G42" i="15"/>
  <c r="G44" i="15"/>
  <c r="G46" i="15"/>
  <c r="G29" i="15"/>
  <c r="G31" i="15"/>
  <c r="G33" i="15"/>
  <c r="G35" i="15"/>
  <c r="G37" i="15"/>
  <c r="G39" i="15"/>
  <c r="G41" i="15"/>
  <c r="G43" i="15"/>
  <c r="G45" i="15"/>
  <c r="G47" i="15"/>
  <c r="E45" i="15"/>
  <c r="E28" i="15"/>
  <c r="E30" i="15"/>
  <c r="E32" i="15"/>
  <c r="E34" i="15"/>
  <c r="E36" i="15"/>
  <c r="E38" i="15"/>
  <c r="E40" i="15"/>
  <c r="E42" i="15"/>
  <c r="E44" i="15"/>
  <c r="E46" i="15"/>
  <c r="E43" i="15"/>
  <c r="E39" i="15"/>
  <c r="E37" i="15"/>
  <c r="E29" i="15"/>
  <c r="E31" i="15"/>
  <c r="E33" i="15"/>
  <c r="E47" i="15"/>
  <c r="E35" i="15"/>
  <c r="E41" i="15"/>
  <c r="H39" i="15"/>
  <c r="H28" i="15"/>
  <c r="H30" i="15"/>
  <c r="H32" i="15"/>
  <c r="H34" i="15"/>
  <c r="H36" i="15"/>
  <c r="H38" i="15"/>
  <c r="H40" i="15"/>
  <c r="H42" i="15"/>
  <c r="H44" i="15"/>
  <c r="H29" i="15"/>
  <c r="H31" i="15"/>
  <c r="H33" i="15"/>
  <c r="H35" i="15"/>
  <c r="H37" i="15"/>
  <c r="H41" i="15"/>
  <c r="H43" i="15"/>
  <c r="H45" i="15"/>
  <c r="H47" i="15"/>
  <c r="H46" i="15"/>
  <c r="J29" i="15"/>
  <c r="J31" i="15"/>
  <c r="J33" i="15"/>
  <c r="J35" i="15"/>
  <c r="J37" i="15"/>
  <c r="J39" i="15"/>
  <c r="J41" i="15"/>
  <c r="J43" i="15"/>
  <c r="J45" i="15"/>
  <c r="J47" i="15"/>
  <c r="J28" i="15"/>
  <c r="J30" i="15"/>
  <c r="J32" i="15"/>
  <c r="J34" i="15"/>
  <c r="J36" i="15"/>
  <c r="J38" i="15"/>
  <c r="J40" i="15"/>
  <c r="J42" i="15"/>
  <c r="J44" i="15"/>
  <c r="J46" i="15"/>
  <c r="K29" i="15"/>
  <c r="K31" i="15"/>
  <c r="K33" i="15"/>
  <c r="K35" i="15"/>
  <c r="K37" i="15"/>
  <c r="K39" i="15"/>
  <c r="K41" i="15"/>
  <c r="K43" i="15"/>
  <c r="K45" i="15"/>
  <c r="K47" i="15"/>
  <c r="K28" i="15"/>
  <c r="K30" i="15"/>
  <c r="K32" i="15"/>
  <c r="K34" i="15"/>
  <c r="K36" i="15"/>
  <c r="K38" i="15"/>
  <c r="K40" i="15"/>
  <c r="K42" i="15"/>
  <c r="K44" i="15"/>
  <c r="K46" i="15"/>
  <c r="B28" i="15"/>
  <c r="B95" i="15" s="1"/>
  <c r="B32" i="15"/>
  <c r="B99" i="15" s="1"/>
  <c r="B40" i="15"/>
  <c r="B107" i="15" s="1"/>
  <c r="B44" i="15"/>
  <c r="B111" i="15" s="1"/>
  <c r="B29" i="15"/>
  <c r="B96" i="15" s="1"/>
  <c r="B33" i="15"/>
  <c r="B100" i="15" s="1"/>
  <c r="B41" i="15"/>
  <c r="B108" i="15" s="1"/>
  <c r="B37" i="15"/>
  <c r="B104" i="15" s="1"/>
  <c r="B34" i="15"/>
  <c r="B101" i="15" s="1"/>
  <c r="B42" i="15"/>
  <c r="B109" i="15" s="1"/>
  <c r="B35" i="15"/>
  <c r="B102" i="15" s="1"/>
  <c r="B43" i="15"/>
  <c r="B110" i="15" s="1"/>
  <c r="B45" i="15"/>
  <c r="B112" i="15" s="1"/>
  <c r="B30" i="15"/>
  <c r="B97" i="15" s="1"/>
  <c r="B38" i="15"/>
  <c r="B105" i="15" s="1"/>
  <c r="B46" i="15"/>
  <c r="B113" i="15" s="1"/>
  <c r="B36" i="15"/>
  <c r="B103" i="15" s="1"/>
  <c r="B31" i="15"/>
  <c r="B98" i="15" s="1"/>
  <c r="B39" i="15"/>
  <c r="B106" i="15" s="1"/>
  <c r="B47" i="15"/>
  <c r="B114" i="15" s="1"/>
  <c r="C29" i="15"/>
  <c r="C31" i="15"/>
  <c r="C33" i="15"/>
  <c r="C35" i="15"/>
  <c r="C37" i="15"/>
  <c r="C39" i="15"/>
  <c r="C41" i="15"/>
  <c r="C43" i="15"/>
  <c r="C45" i="15"/>
  <c r="C47" i="15"/>
  <c r="C28" i="15"/>
  <c r="C30" i="15"/>
  <c r="C32" i="15"/>
  <c r="C34" i="15"/>
  <c r="C36" i="15"/>
  <c r="C38" i="15"/>
  <c r="C40" i="15"/>
  <c r="C42" i="15"/>
  <c r="C44" i="15"/>
  <c r="C46" i="15"/>
  <c r="D44" i="15"/>
  <c r="D45" i="15"/>
  <c r="D43" i="15"/>
  <c r="D29" i="15"/>
  <c r="D31" i="15"/>
  <c r="D33" i="15"/>
  <c r="D35" i="15"/>
  <c r="D37" i="15"/>
  <c r="D39" i="15"/>
  <c r="D41" i="15"/>
  <c r="D47" i="15"/>
  <c r="D28" i="15"/>
  <c r="D30" i="15"/>
  <c r="D32" i="15"/>
  <c r="D34" i="15"/>
  <c r="D36" i="15"/>
  <c r="D38" i="15"/>
  <c r="D40" i="15"/>
  <c r="D42" i="15"/>
  <c r="D46" i="15"/>
  <c r="L46" i="15"/>
  <c r="L45" i="15"/>
  <c r="L43" i="15"/>
  <c r="L47" i="15"/>
  <c r="L29" i="15"/>
  <c r="L31" i="15"/>
  <c r="L33" i="15"/>
  <c r="L35" i="15"/>
  <c r="L37" i="15"/>
  <c r="L39" i="15"/>
  <c r="L28" i="15"/>
  <c r="L30" i="15"/>
  <c r="L32" i="15"/>
  <c r="L34" i="15"/>
  <c r="L36" i="15"/>
  <c r="L38" i="15"/>
  <c r="L40" i="15"/>
  <c r="L42" i="15"/>
  <c r="L44" i="15"/>
  <c r="L41" i="15"/>
  <c r="R30" i="15"/>
  <c r="S30" i="15" s="1"/>
  <c r="T30" i="15" s="1"/>
  <c r="U30" i="15" s="1"/>
  <c r="V30" i="15" s="1"/>
  <c r="W30" i="15" s="1"/>
  <c r="X30" i="15" s="1"/>
  <c r="Y30" i="15" s="1"/>
  <c r="Z30" i="15" s="1"/>
  <c r="AA30" i="15" s="1"/>
  <c r="AB30" i="15" s="1"/>
  <c r="AC30" i="15" s="1"/>
  <c r="AO5" i="16"/>
  <c r="AP3" i="16"/>
  <c r="AN5" i="16"/>
  <c r="AN3" i="16"/>
  <c r="AN4" i="16"/>
  <c r="AO4" i="16"/>
  <c r="AO3" i="16"/>
  <c r="AP5" i="16"/>
  <c r="AP4" i="16"/>
  <c r="AR20" i="16"/>
  <c r="AS21" i="16"/>
  <c r="AR21" i="16"/>
  <c r="AT20" i="16"/>
  <c r="AS20" i="16"/>
  <c r="AT22" i="16"/>
  <c r="AR22" i="16"/>
  <c r="AT21" i="16"/>
  <c r="AS22" i="16"/>
  <c r="AN9" i="16"/>
  <c r="AO11" i="16"/>
  <c r="AN10" i="16"/>
  <c r="AP11" i="16"/>
  <c r="AP9" i="16"/>
  <c r="AO9" i="16"/>
  <c r="AN11" i="16"/>
  <c r="AP10" i="16"/>
  <c r="AO10" i="16"/>
  <c r="AT16" i="16"/>
  <c r="AS17" i="16"/>
  <c r="AS16" i="16"/>
  <c r="AT15" i="16"/>
  <c r="AS15" i="16"/>
  <c r="AR17" i="16"/>
  <c r="AR16" i="16"/>
  <c r="AT17" i="16"/>
  <c r="U21" i="16"/>
  <c r="V16" i="16"/>
  <c r="U20" i="16"/>
  <c r="T16" i="16"/>
  <c r="V20" i="16"/>
  <c r="U15" i="16"/>
  <c r="U19" i="16"/>
  <c r="V15" i="16"/>
  <c r="V19" i="16"/>
  <c r="T14" i="16"/>
  <c r="V21" i="16"/>
  <c r="U14" i="16"/>
  <c r="V14" i="16"/>
  <c r="T21" i="16"/>
  <c r="U16" i="16"/>
  <c r="T20" i="16"/>
  <c r="AM23" i="23" l="1" a="1"/>
  <c r="AM20" i="23" a="1"/>
  <c r="AM24" i="23" a="1"/>
  <c r="AM25" i="23" a="1"/>
  <c r="AM21" i="23" a="1"/>
  <c r="AM22" i="23" a="1"/>
  <c r="AM18" i="23" a="1"/>
  <c r="AM17" i="23" a="1"/>
  <c r="AM19" i="23" a="1"/>
  <c r="B118" i="15" a="1"/>
  <c r="Y10" i="23"/>
  <c r="W10" i="23"/>
  <c r="X10" i="23"/>
  <c r="Y4" i="23"/>
  <c r="X4" i="23"/>
  <c r="W4" i="23"/>
  <c r="AA4" i="23" s="1"/>
  <c r="AB4" i="23" s="1"/>
  <c r="Y12" i="23"/>
  <c r="W12" i="23"/>
  <c r="X12" i="23"/>
  <c r="W22" i="23" a="1"/>
  <c r="W20" i="23" a="1"/>
  <c r="W19" i="23" a="1"/>
  <c r="W24" i="23" a="1"/>
  <c r="W25" i="23" a="1"/>
  <c r="W23" i="23" a="1"/>
  <c r="W17" i="23" a="1"/>
  <c r="W26" i="23" a="1"/>
  <c r="W18" i="23" a="1"/>
  <c r="W21" i="23" a="1"/>
  <c r="W3" i="23"/>
  <c r="X3" i="23"/>
  <c r="Y3" i="23"/>
  <c r="Y5" i="23"/>
  <c r="X5" i="23"/>
  <c r="W5" i="23"/>
  <c r="AA5" i="23" s="1"/>
  <c r="AB5" i="23" s="1"/>
  <c r="Y11" i="23"/>
  <c r="W11" i="23"/>
  <c r="X11" i="23"/>
  <c r="Y7" i="23"/>
  <c r="W7" i="23"/>
  <c r="X7" i="23"/>
  <c r="Y6" i="23"/>
  <c r="W6" i="23"/>
  <c r="X6" i="23"/>
  <c r="Y9" i="23"/>
  <c r="X9" i="23"/>
  <c r="W9" i="23"/>
  <c r="Y8" i="23"/>
  <c r="W8" i="23"/>
  <c r="X8" i="23"/>
  <c r="C48" i="15"/>
  <c r="D49" i="15"/>
  <c r="I48" i="15"/>
  <c r="J48" i="15"/>
  <c r="B49" i="15"/>
  <c r="E48" i="15"/>
  <c r="Q53" i="15" s="1" a="1"/>
  <c r="E49" i="15"/>
  <c r="J49" i="15"/>
  <c r="N49" i="15"/>
  <c r="N48" i="15"/>
  <c r="M49" i="15"/>
  <c r="M48" i="15"/>
  <c r="L49" i="15"/>
  <c r="L48" i="15"/>
  <c r="K49" i="15"/>
  <c r="K48" i="15"/>
  <c r="I49" i="15"/>
  <c r="B48" i="15"/>
  <c r="H49" i="15"/>
  <c r="H48" i="15"/>
  <c r="D48" i="15"/>
  <c r="C49" i="15"/>
  <c r="G49" i="15"/>
  <c r="G48" i="15"/>
  <c r="F48" i="15"/>
  <c r="F49" i="15"/>
  <c r="K53" i="15"/>
  <c r="N61" i="15"/>
  <c r="C53" i="15"/>
  <c r="L61" i="15"/>
  <c r="J58" i="15"/>
  <c r="I61" i="15"/>
  <c r="B58" i="15"/>
  <c r="D61" i="15"/>
  <c r="H53" i="15"/>
  <c r="G53" i="15"/>
  <c r="E53" i="15"/>
  <c r="C61" i="15"/>
  <c r="E61" i="15"/>
  <c r="B53" i="15"/>
  <c r="M65" i="15"/>
  <c r="E65" i="15"/>
  <c r="L65" i="15"/>
  <c r="D65" i="15"/>
  <c r="K65" i="15"/>
  <c r="C65" i="15"/>
  <c r="J65" i="15"/>
  <c r="B65" i="15"/>
  <c r="I65" i="15"/>
  <c r="H65" i="15"/>
  <c r="G65" i="15"/>
  <c r="N65" i="15"/>
  <c r="F65" i="15"/>
  <c r="M57" i="15"/>
  <c r="E57" i="15"/>
  <c r="L57" i="15"/>
  <c r="D57" i="15"/>
  <c r="K57" i="15"/>
  <c r="C57" i="15"/>
  <c r="J57" i="15"/>
  <c r="B57" i="15"/>
  <c r="I57" i="15"/>
  <c r="H57" i="15"/>
  <c r="G57" i="15"/>
  <c r="N57" i="15"/>
  <c r="F57" i="15"/>
  <c r="K61" i="15"/>
  <c r="M61" i="15"/>
  <c r="J53" i="15"/>
  <c r="D53" i="15"/>
  <c r="G60" i="15"/>
  <c r="N60" i="15"/>
  <c r="F60" i="15"/>
  <c r="M60" i="15"/>
  <c r="E60" i="15"/>
  <c r="L60" i="15"/>
  <c r="D60" i="15"/>
  <c r="K60" i="15"/>
  <c r="C60" i="15"/>
  <c r="J60" i="15"/>
  <c r="B60" i="15"/>
  <c r="I60" i="15"/>
  <c r="H60" i="15"/>
  <c r="F58" i="15"/>
  <c r="G61" i="15"/>
  <c r="L53" i="15"/>
  <c r="D58" i="15"/>
  <c r="N58" i="15"/>
  <c r="C58" i="15"/>
  <c r="B61" i="15"/>
  <c r="H58" i="15"/>
  <c r="L58" i="15"/>
  <c r="I58" i="15"/>
  <c r="J61" i="15"/>
  <c r="F53" i="15"/>
  <c r="I59" i="15"/>
  <c r="H59" i="15"/>
  <c r="G59" i="15"/>
  <c r="N59" i="15"/>
  <c r="F59" i="15"/>
  <c r="M59" i="15"/>
  <c r="E59" i="15"/>
  <c r="L59" i="15"/>
  <c r="D59" i="15"/>
  <c r="K59" i="15"/>
  <c r="C59" i="15"/>
  <c r="J59" i="15"/>
  <c r="B59" i="15"/>
  <c r="G58" i="15"/>
  <c r="H61" i="15"/>
  <c r="N53" i="15"/>
  <c r="I53" i="15"/>
  <c r="I55" i="15"/>
  <c r="H55" i="15"/>
  <c r="G55" i="15"/>
  <c r="N55" i="15"/>
  <c r="F55" i="15"/>
  <c r="M55" i="15"/>
  <c r="E55" i="15"/>
  <c r="L55" i="15"/>
  <c r="D55" i="15"/>
  <c r="K55" i="15"/>
  <c r="C55" i="15"/>
  <c r="J55" i="15"/>
  <c r="B55" i="15"/>
  <c r="K58" i="15"/>
  <c r="G64" i="15"/>
  <c r="N64" i="15"/>
  <c r="F64" i="15"/>
  <c r="M64" i="15"/>
  <c r="E64" i="15"/>
  <c r="L64" i="15"/>
  <c r="D64" i="15"/>
  <c r="K64" i="15"/>
  <c r="C64" i="15"/>
  <c r="J64" i="15"/>
  <c r="B64" i="15"/>
  <c r="I64" i="15"/>
  <c r="H64" i="15"/>
  <c r="G56" i="15"/>
  <c r="N56" i="15"/>
  <c r="F56" i="15"/>
  <c r="M56" i="15"/>
  <c r="E56" i="15"/>
  <c r="L56" i="15"/>
  <c r="D56" i="15"/>
  <c r="K56" i="15"/>
  <c r="C56" i="15"/>
  <c r="J56" i="15"/>
  <c r="B56" i="15"/>
  <c r="I56" i="15"/>
  <c r="H56" i="15"/>
  <c r="E58" i="15"/>
  <c r="M53" i="15"/>
  <c r="K54" i="15"/>
  <c r="C54" i="15"/>
  <c r="J54" i="15"/>
  <c r="B54" i="15"/>
  <c r="I54" i="15"/>
  <c r="H54" i="15"/>
  <c r="G54" i="15"/>
  <c r="N54" i="15"/>
  <c r="F54" i="15"/>
  <c r="M54" i="15"/>
  <c r="E54" i="15"/>
  <c r="L54" i="15"/>
  <c r="D54" i="15"/>
  <c r="I63" i="15"/>
  <c r="H63" i="15"/>
  <c r="G63" i="15"/>
  <c r="N63" i="15"/>
  <c r="F63" i="15"/>
  <c r="M63" i="15"/>
  <c r="E63" i="15"/>
  <c r="L63" i="15"/>
  <c r="D63" i="15"/>
  <c r="K63" i="15"/>
  <c r="C63" i="15"/>
  <c r="J63" i="15"/>
  <c r="B63" i="15"/>
  <c r="K62" i="15"/>
  <c r="C62" i="15"/>
  <c r="J62" i="15"/>
  <c r="B62" i="15"/>
  <c r="I62" i="15"/>
  <c r="H62" i="15"/>
  <c r="G62" i="15"/>
  <c r="N62" i="15"/>
  <c r="F62" i="15"/>
  <c r="M62" i="15"/>
  <c r="E62" i="15"/>
  <c r="L62" i="15"/>
  <c r="D62" i="15"/>
  <c r="M58" i="15"/>
  <c r="F61" i="15"/>
  <c r="AM17" i="23" l="1"/>
  <c r="AN17" i="23"/>
  <c r="AO17" i="23"/>
  <c r="AN18" i="23"/>
  <c r="AM18" i="23"/>
  <c r="AO18" i="23"/>
  <c r="AN22" i="23"/>
  <c r="AM22" i="23"/>
  <c r="AO22" i="23"/>
  <c r="AN21" i="23"/>
  <c r="AQ21" i="23" s="1"/>
  <c r="AR21" i="23" s="1"/>
  <c r="AM21" i="23"/>
  <c r="AO21" i="23"/>
  <c r="AN25" i="23"/>
  <c r="AM25" i="23"/>
  <c r="AO25" i="23"/>
  <c r="AN24" i="23"/>
  <c r="AM24" i="23"/>
  <c r="AO24" i="23"/>
  <c r="AN20" i="23"/>
  <c r="AM20" i="23"/>
  <c r="AO20" i="23"/>
  <c r="AQ20" i="23" s="1"/>
  <c r="AR20" i="23" s="1"/>
  <c r="AN19" i="23"/>
  <c r="AQ19" i="23" s="1"/>
  <c r="AR19" i="23" s="1"/>
  <c r="AM19" i="23"/>
  <c r="AO19" i="23"/>
  <c r="AN23" i="23"/>
  <c r="AM23" i="23"/>
  <c r="AO23" i="23"/>
  <c r="B118" i="15"/>
  <c r="G125" i="15"/>
  <c r="F119" i="15"/>
  <c r="I120" i="15"/>
  <c r="H128" i="15"/>
  <c r="D125" i="15"/>
  <c r="T121" i="15"/>
  <c r="P118" i="15"/>
  <c r="F129" i="15"/>
  <c r="M125" i="15"/>
  <c r="S129" i="15"/>
  <c r="O126" i="15"/>
  <c r="K123" i="15"/>
  <c r="G120" i="15"/>
  <c r="G123" i="15"/>
  <c r="R122" i="15"/>
  <c r="E119" i="15"/>
  <c r="R127" i="15"/>
  <c r="N124" i="15"/>
  <c r="J121" i="15"/>
  <c r="F118" i="15"/>
  <c r="J128" i="15"/>
  <c r="M119" i="15"/>
  <c r="E128" i="15"/>
  <c r="U124" i="15"/>
  <c r="Q121" i="15"/>
  <c r="M118" i="15"/>
  <c r="O121" i="15"/>
  <c r="J122" i="15"/>
  <c r="D130" i="15"/>
  <c r="T126" i="15"/>
  <c r="P123" i="15"/>
  <c r="L120" i="15"/>
  <c r="Q119" i="15"/>
  <c r="P121" i="15"/>
  <c r="Q126" i="15"/>
  <c r="N118" i="15"/>
  <c r="N123" i="15"/>
  <c r="K122" i="15"/>
  <c r="I130" i="15"/>
  <c r="I118" i="15"/>
  <c r="T127" i="15"/>
  <c r="P124" i="15"/>
  <c r="L121" i="15"/>
  <c r="H118" i="15"/>
  <c r="R126" i="15"/>
  <c r="U123" i="15"/>
  <c r="K129" i="15"/>
  <c r="G126" i="15"/>
  <c r="C123" i="15"/>
  <c r="S119" i="15"/>
  <c r="G121" i="15"/>
  <c r="N121" i="15"/>
  <c r="N130" i="15"/>
  <c r="J127" i="15"/>
  <c r="F124" i="15"/>
  <c r="B121" i="15"/>
  <c r="O129" i="15"/>
  <c r="R124" i="15"/>
  <c r="U130" i="15"/>
  <c r="Q127" i="15"/>
  <c r="M124" i="15"/>
  <c r="I121" i="15"/>
  <c r="E118" i="15"/>
  <c r="K120" i="15"/>
  <c r="J120" i="15"/>
  <c r="P129" i="15"/>
  <c r="L126" i="15"/>
  <c r="H123" i="15"/>
  <c r="D120" i="15"/>
  <c r="I129" i="15"/>
  <c r="U119" i="15"/>
  <c r="M121" i="15"/>
  <c r="G130" i="15"/>
  <c r="U121" i="15"/>
  <c r="R130" i="15"/>
  <c r="U118" i="15"/>
  <c r="C118" i="15"/>
  <c r="S118" i="15"/>
  <c r="Q128" i="15"/>
  <c r="P130" i="15"/>
  <c r="L127" i="15"/>
  <c r="H124" i="15"/>
  <c r="D121" i="15"/>
  <c r="C130" i="15"/>
  <c r="B124" i="15"/>
  <c r="I122" i="15"/>
  <c r="C129" i="15"/>
  <c r="S125" i="15"/>
  <c r="O122" i="15"/>
  <c r="K119" i="15"/>
  <c r="C120" i="15"/>
  <c r="B120" i="15"/>
  <c r="F130" i="15"/>
  <c r="B127" i="15"/>
  <c r="R123" i="15"/>
  <c r="N120" i="15"/>
  <c r="O127" i="15"/>
  <c r="B122" i="15"/>
  <c r="M130" i="15"/>
  <c r="I127" i="15"/>
  <c r="E124" i="15"/>
  <c r="U120" i="15"/>
  <c r="K130" i="15"/>
  <c r="K118" i="15"/>
  <c r="J118" i="15"/>
  <c r="H129" i="15"/>
  <c r="D126" i="15"/>
  <c r="T122" i="15"/>
  <c r="P119" i="15"/>
  <c r="E126" i="15"/>
  <c r="T124" i="15"/>
  <c r="S123" i="15"/>
  <c r="O123" i="15"/>
  <c r="B130" i="15"/>
  <c r="E127" i="15"/>
  <c r="H130" i="15"/>
  <c r="D127" i="15"/>
  <c r="T123" i="15"/>
  <c r="P120" i="15"/>
  <c r="S126" i="15"/>
  <c r="F121" i="15"/>
  <c r="E121" i="15"/>
  <c r="O128" i="15"/>
  <c r="K125" i="15"/>
  <c r="G122" i="15"/>
  <c r="C119" i="15"/>
  <c r="J130" i="15"/>
  <c r="U129" i="15"/>
  <c r="R129" i="15"/>
  <c r="N126" i="15"/>
  <c r="J123" i="15"/>
  <c r="F120" i="15"/>
  <c r="O125" i="15"/>
  <c r="N119" i="15"/>
  <c r="E130" i="15"/>
  <c r="U126" i="15"/>
  <c r="Q123" i="15"/>
  <c r="M120" i="15"/>
  <c r="G129" i="15"/>
  <c r="N129" i="15"/>
  <c r="M129" i="15"/>
  <c r="T128" i="15"/>
  <c r="P125" i="15"/>
  <c r="L122" i="15"/>
  <c r="H119" i="15"/>
  <c r="C122" i="15"/>
  <c r="K126" i="15"/>
  <c r="D128" i="15"/>
  <c r="L118" i="15"/>
  <c r="P128" i="15"/>
  <c r="G119" i="15"/>
  <c r="C126" i="15"/>
  <c r="B125" i="15"/>
  <c r="I125" i="15"/>
  <c r="T120" i="15"/>
  <c r="B128" i="15"/>
  <c r="E125" i="15"/>
  <c r="T129" i="15"/>
  <c r="P126" i="15"/>
  <c r="L123" i="15"/>
  <c r="H120" i="15"/>
  <c r="K124" i="15"/>
  <c r="R118" i="15"/>
  <c r="Q120" i="15"/>
  <c r="G128" i="15"/>
  <c r="C125" i="15"/>
  <c r="S121" i="15"/>
  <c r="O118" i="15"/>
  <c r="R128" i="15"/>
  <c r="U127" i="15"/>
  <c r="J129" i="15"/>
  <c r="F126" i="15"/>
  <c r="B123" i="15"/>
  <c r="R119" i="15"/>
  <c r="C124" i="15"/>
  <c r="E129" i="15"/>
  <c r="Q129" i="15"/>
  <c r="M126" i="15"/>
  <c r="I123" i="15"/>
  <c r="E120" i="15"/>
  <c r="C128" i="15"/>
  <c r="N127" i="15"/>
  <c r="Q124" i="15"/>
  <c r="L128" i="15"/>
  <c r="H125" i="15"/>
  <c r="D122" i="15"/>
  <c r="T118" i="15"/>
  <c r="L125" i="15"/>
  <c r="C127" i="15"/>
  <c r="F128" i="15"/>
  <c r="M128" i="15"/>
  <c r="H127" i="15"/>
  <c r="S130" i="15"/>
  <c r="N125" i="15"/>
  <c r="M123" i="15"/>
  <c r="L129" i="15"/>
  <c r="H126" i="15"/>
  <c r="D123" i="15"/>
  <c r="T119" i="15"/>
  <c r="S122" i="15"/>
  <c r="Q130" i="15"/>
  <c r="Q118" i="15"/>
  <c r="S127" i="15"/>
  <c r="O124" i="15"/>
  <c r="K121" i="15"/>
  <c r="G118" i="15"/>
  <c r="F127" i="15"/>
  <c r="I126" i="15"/>
  <c r="B129" i="15"/>
  <c r="R125" i="15"/>
  <c r="N122" i="15"/>
  <c r="J119" i="15"/>
  <c r="M127" i="15"/>
  <c r="U122" i="15"/>
  <c r="J126" i="15"/>
  <c r="G127" i="15"/>
  <c r="H122" i="15"/>
  <c r="J124" i="15"/>
  <c r="E123" i="15"/>
  <c r="L130" i="15"/>
  <c r="S128" i="15"/>
  <c r="F123" i="15"/>
  <c r="Q122" i="15"/>
  <c r="D129" i="15"/>
  <c r="T125" i="15"/>
  <c r="P122" i="15"/>
  <c r="L119" i="15"/>
  <c r="S120" i="15"/>
  <c r="I128" i="15"/>
  <c r="O130" i="15"/>
  <c r="K127" i="15"/>
  <c r="G124" i="15"/>
  <c r="C121" i="15"/>
  <c r="K128" i="15"/>
  <c r="B126" i="15"/>
  <c r="I124" i="15"/>
  <c r="N128" i="15"/>
  <c r="J125" i="15"/>
  <c r="F122" i="15"/>
  <c r="B119" i="15"/>
  <c r="O119" i="15"/>
  <c r="U125" i="15"/>
  <c r="U128" i="15"/>
  <c r="Q125" i="15"/>
  <c r="M122" i="15"/>
  <c r="I119" i="15"/>
  <c r="S124" i="15"/>
  <c r="F125" i="15"/>
  <c r="T130" i="15"/>
  <c r="P127" i="15"/>
  <c r="L124" i="15"/>
  <c r="H121" i="15"/>
  <c r="D118" i="15"/>
  <c r="R120" i="15"/>
  <c r="D119" i="15"/>
  <c r="O120" i="15"/>
  <c r="R121" i="15"/>
  <c r="E122" i="15"/>
  <c r="D124" i="15"/>
  <c r="AQ5" i="23"/>
  <c r="AR5" i="23" s="1"/>
  <c r="AQ9" i="23"/>
  <c r="AR9" i="23" s="1"/>
  <c r="AA6" i="23"/>
  <c r="AB6" i="23" s="1"/>
  <c r="AA10" i="23"/>
  <c r="AB10" i="23" s="1"/>
  <c r="AQ3" i="23"/>
  <c r="AR3" i="23" s="1"/>
  <c r="AA12" i="23"/>
  <c r="AB12" i="23" s="1"/>
  <c r="AQ7" i="23"/>
  <c r="AR7" i="23" s="1"/>
  <c r="Y23" i="23"/>
  <c r="W23" i="23"/>
  <c r="X23" i="23"/>
  <c r="AQ4" i="23"/>
  <c r="AR4" i="23" s="1"/>
  <c r="AA7" i="23"/>
  <c r="AB7" i="23" s="1"/>
  <c r="Y25" i="23"/>
  <c r="X25" i="23"/>
  <c r="W25" i="23"/>
  <c r="AA8" i="23"/>
  <c r="AB8" i="23" s="1"/>
  <c r="AA3" i="23"/>
  <c r="AB3" i="23" s="1"/>
  <c r="Y24" i="23"/>
  <c r="X24" i="23"/>
  <c r="W24" i="23"/>
  <c r="AQ8" i="23"/>
  <c r="AR8" i="23" s="1"/>
  <c r="AA11" i="23"/>
  <c r="AB11" i="23" s="1"/>
  <c r="Y21" i="23"/>
  <c r="W21" i="23"/>
  <c r="X21" i="23"/>
  <c r="Y19" i="23"/>
  <c r="X19" i="23"/>
  <c r="W19" i="23"/>
  <c r="AA9" i="23"/>
  <c r="AB9" i="23" s="1"/>
  <c r="AQ6" i="23"/>
  <c r="AR6" i="23" s="1"/>
  <c r="Y18" i="23"/>
  <c r="W18" i="23"/>
  <c r="X18" i="23"/>
  <c r="Y20" i="23"/>
  <c r="W20" i="23"/>
  <c r="X20" i="23"/>
  <c r="Y26" i="23"/>
  <c r="X26" i="23"/>
  <c r="W26" i="23"/>
  <c r="Y22" i="23"/>
  <c r="X22" i="23"/>
  <c r="W22" i="23"/>
  <c r="AQ11" i="23"/>
  <c r="AR11" i="23" s="1"/>
  <c r="AQ10" i="23"/>
  <c r="AR10" i="23" s="1"/>
  <c r="W17" i="23"/>
  <c r="Y17" i="23"/>
  <c r="X17" i="23"/>
  <c r="W72" i="15"/>
  <c r="V72" i="15"/>
  <c r="AC72" i="15"/>
  <c r="U72" i="15"/>
  <c r="Z71" i="15"/>
  <c r="R71" i="15"/>
  <c r="W70" i="15"/>
  <c r="AB72" i="15"/>
  <c r="AA72" i="15"/>
  <c r="Z72" i="15"/>
  <c r="Y72" i="15"/>
  <c r="Q72" i="15"/>
  <c r="V71" i="15"/>
  <c r="AA70" i="15"/>
  <c r="S70" i="15"/>
  <c r="X72" i="15"/>
  <c r="R72" i="15"/>
  <c r="T71" i="15"/>
  <c r="V70" i="15"/>
  <c r="Z69" i="15"/>
  <c r="R69" i="15"/>
  <c r="W68" i="15"/>
  <c r="AB67" i="15"/>
  <c r="T67" i="15"/>
  <c r="Y66" i="15"/>
  <c r="Q66" i="15"/>
  <c r="V65" i="15"/>
  <c r="AA64" i="15"/>
  <c r="S64" i="15"/>
  <c r="X63" i="15"/>
  <c r="AC62" i="15"/>
  <c r="U62" i="15"/>
  <c r="Z61" i="15"/>
  <c r="R61" i="15"/>
  <c r="W60" i="15"/>
  <c r="AB59" i="15"/>
  <c r="T59" i="15"/>
  <c r="Y58" i="15"/>
  <c r="Q58" i="15"/>
  <c r="V57" i="15"/>
  <c r="AA56" i="15"/>
  <c r="S56" i="15"/>
  <c r="X55" i="15"/>
  <c r="AC54" i="15"/>
  <c r="U54" i="15"/>
  <c r="Z53" i="15"/>
  <c r="R53" i="15"/>
  <c r="AC71" i="15"/>
  <c r="S71" i="15"/>
  <c r="U70" i="15"/>
  <c r="Y69" i="15"/>
  <c r="Q69" i="15"/>
  <c r="V68" i="15"/>
  <c r="AA67" i="15"/>
  <c r="S67" i="15"/>
  <c r="X66" i="15"/>
  <c r="AC65" i="15"/>
  <c r="U65" i="15"/>
  <c r="Z64" i="15"/>
  <c r="R64" i="15"/>
  <c r="W63" i="15"/>
  <c r="AB62" i="15"/>
  <c r="T62" i="15"/>
  <c r="Y61" i="15"/>
  <c r="Q61" i="15"/>
  <c r="V60" i="15"/>
  <c r="AA59" i="15"/>
  <c r="S59" i="15"/>
  <c r="X58" i="15"/>
  <c r="AC57" i="15"/>
  <c r="U57" i="15"/>
  <c r="Z56" i="15"/>
  <c r="R56" i="15"/>
  <c r="W55" i="15"/>
  <c r="AB54" i="15"/>
  <c r="T54" i="15"/>
  <c r="Y53" i="15"/>
  <c r="Q53" i="15"/>
  <c r="AB71" i="15"/>
  <c r="Q71" i="15"/>
  <c r="T70" i="15"/>
  <c r="X69" i="15"/>
  <c r="AC68" i="15"/>
  <c r="U68" i="15"/>
  <c r="Z67" i="15"/>
  <c r="R67" i="15"/>
  <c r="W66" i="15"/>
  <c r="AB65" i="15"/>
  <c r="T65" i="15"/>
  <c r="Y64" i="15"/>
  <c r="Q64" i="15"/>
  <c r="V63" i="15"/>
  <c r="AA62" i="15"/>
  <c r="S62" i="15"/>
  <c r="X61" i="15"/>
  <c r="AC60" i="15"/>
  <c r="U60" i="15"/>
  <c r="Z59" i="15"/>
  <c r="R59" i="15"/>
  <c r="W58" i="15"/>
  <c r="AB57" i="15"/>
  <c r="T57" i="15"/>
  <c r="Y56" i="15"/>
  <c r="Q56" i="15"/>
  <c r="V55" i="15"/>
  <c r="AA54" i="15"/>
  <c r="S54" i="15"/>
  <c r="X53" i="15"/>
  <c r="AA71" i="15"/>
  <c r="AC70" i="15"/>
  <c r="R70" i="15"/>
  <c r="W69" i="15"/>
  <c r="AB68" i="15"/>
  <c r="T68" i="15"/>
  <c r="Y67" i="15"/>
  <c r="Q67" i="15"/>
  <c r="V66" i="15"/>
  <c r="AA65" i="15"/>
  <c r="S65" i="15"/>
  <c r="X64" i="15"/>
  <c r="AC63" i="15"/>
  <c r="U63" i="15"/>
  <c r="Z62" i="15"/>
  <c r="R62" i="15"/>
  <c r="W61" i="15"/>
  <c r="AB60" i="15"/>
  <c r="T60" i="15"/>
  <c r="Y59" i="15"/>
  <c r="Q59" i="15"/>
  <c r="V58" i="15"/>
  <c r="AA57" i="15"/>
  <c r="S57" i="15"/>
  <c r="X56" i="15"/>
  <c r="AC55" i="15"/>
  <c r="U55" i="15"/>
  <c r="Z54" i="15"/>
  <c r="R54" i="15"/>
  <c r="W53" i="15"/>
  <c r="Y71" i="15"/>
  <c r="AB70" i="15"/>
  <c r="Q70" i="15"/>
  <c r="V69" i="15"/>
  <c r="AA68" i="15"/>
  <c r="S68" i="15"/>
  <c r="X67" i="15"/>
  <c r="AC66" i="15"/>
  <c r="U66" i="15"/>
  <c r="Z65" i="15"/>
  <c r="R65" i="15"/>
  <c r="W64" i="15"/>
  <c r="AB63" i="15"/>
  <c r="T63" i="15"/>
  <c r="Y62" i="15"/>
  <c r="Q62" i="15"/>
  <c r="V61" i="15"/>
  <c r="AA60" i="15"/>
  <c r="S60" i="15"/>
  <c r="X59" i="15"/>
  <c r="AC58" i="15"/>
  <c r="U58" i="15"/>
  <c r="Z57" i="15"/>
  <c r="R57" i="15"/>
  <c r="W56" i="15"/>
  <c r="AB55" i="15"/>
  <c r="T55" i="15"/>
  <c r="Y54" i="15"/>
  <c r="Q54" i="15"/>
  <c r="V53" i="15"/>
  <c r="X71" i="15"/>
  <c r="Z70" i="15"/>
  <c r="AC69" i="15"/>
  <c r="U69" i="15"/>
  <c r="Z68" i="15"/>
  <c r="R68" i="15"/>
  <c r="W67" i="15"/>
  <c r="AB66" i="15"/>
  <c r="T66" i="15"/>
  <c r="Y65" i="15"/>
  <c r="Q65" i="15"/>
  <c r="V64" i="15"/>
  <c r="AA63" i="15"/>
  <c r="S63" i="15"/>
  <c r="X62" i="15"/>
  <c r="AC61" i="15"/>
  <c r="U61" i="15"/>
  <c r="Z60" i="15"/>
  <c r="R60" i="15"/>
  <c r="W59" i="15"/>
  <c r="AB58" i="15"/>
  <c r="T58" i="15"/>
  <c r="Y57" i="15"/>
  <c r="Q57" i="15"/>
  <c r="V56" i="15"/>
  <c r="AA55" i="15"/>
  <c r="S55" i="15"/>
  <c r="X54" i="15"/>
  <c r="AC53" i="15"/>
  <c r="U53" i="15"/>
  <c r="T72" i="15"/>
  <c r="W71" i="15"/>
  <c r="Y70" i="15"/>
  <c r="AB69" i="15"/>
  <c r="T69" i="15"/>
  <c r="Y68" i="15"/>
  <c r="Q68" i="15"/>
  <c r="V67" i="15"/>
  <c r="AA66" i="15"/>
  <c r="S66" i="15"/>
  <c r="X65" i="15"/>
  <c r="AC64" i="15"/>
  <c r="U64" i="15"/>
  <c r="Z63" i="15"/>
  <c r="R63" i="15"/>
  <c r="W62" i="15"/>
  <c r="AB61" i="15"/>
  <c r="T61" i="15"/>
  <c r="Y60" i="15"/>
  <c r="Q60" i="15"/>
  <c r="V59" i="15"/>
  <c r="AA58" i="15"/>
  <c r="S58" i="15"/>
  <c r="X57" i="15"/>
  <c r="AC56" i="15"/>
  <c r="U56" i="15"/>
  <c r="Z55" i="15"/>
  <c r="R55" i="15"/>
  <c r="W54" i="15"/>
  <c r="AB53" i="15"/>
  <c r="T53" i="15"/>
  <c r="S72" i="15"/>
  <c r="U71" i="15"/>
  <c r="X70" i="15"/>
  <c r="AA69" i="15"/>
  <c r="S69" i="15"/>
  <c r="X68" i="15"/>
  <c r="AC67" i="15"/>
  <c r="U67" i="15"/>
  <c r="Z66" i="15"/>
  <c r="R66" i="15"/>
  <c r="W65" i="15"/>
  <c r="AB64" i="15"/>
  <c r="T64" i="15"/>
  <c r="Y63" i="15"/>
  <c r="Q63" i="15"/>
  <c r="V62" i="15"/>
  <c r="AA61" i="15"/>
  <c r="S61" i="15"/>
  <c r="X60" i="15"/>
  <c r="AC59" i="15"/>
  <c r="U59" i="15"/>
  <c r="Z58" i="15"/>
  <c r="R58" i="15"/>
  <c r="W57" i="15"/>
  <c r="AB56" i="15"/>
  <c r="T56" i="15"/>
  <c r="Y55" i="15"/>
  <c r="Q55" i="15"/>
  <c r="V54" i="15"/>
  <c r="AA53" i="15"/>
  <c r="S53" i="15"/>
  <c r="AA23" i="23" l="1"/>
  <c r="AB23" i="23" s="1"/>
  <c r="B134" i="15" a="1"/>
  <c r="N144" i="15" s="1"/>
  <c r="AA17" i="23"/>
  <c r="AB17" i="23" s="1"/>
  <c r="AA19" i="23"/>
  <c r="AB19" i="23" s="1"/>
  <c r="AA24" i="23"/>
  <c r="AB24" i="23" s="1"/>
  <c r="AA25" i="23"/>
  <c r="AB25" i="23" s="1"/>
  <c r="AQ25" i="23"/>
  <c r="AR25" i="23" s="1"/>
  <c r="AA20" i="23"/>
  <c r="AB20" i="23" s="1"/>
  <c r="AA22" i="23"/>
  <c r="AB22" i="23" s="1"/>
  <c r="AA18" i="23"/>
  <c r="AB18" i="23" s="1"/>
  <c r="AA21" i="23"/>
  <c r="AB21" i="23" s="1"/>
  <c r="AQ18" i="23"/>
  <c r="AR18" i="23" s="1"/>
  <c r="AQ23" i="23"/>
  <c r="AR23" i="23" s="1"/>
  <c r="AA26" i="23"/>
  <c r="AB26" i="23" s="1"/>
  <c r="AQ17" i="23"/>
  <c r="AR17" i="23" s="1"/>
  <c r="AQ24" i="23"/>
  <c r="AR24" i="23" s="1"/>
  <c r="AQ22" i="23"/>
  <c r="AR22" i="23" s="1"/>
  <c r="R88" i="15"/>
  <c r="R85" i="15"/>
  <c r="R86" i="15"/>
  <c r="R87" i="15"/>
  <c r="R90" i="15"/>
  <c r="R89" i="15"/>
  <c r="U86" i="15"/>
  <c r="U89" i="15"/>
  <c r="U88" i="15"/>
  <c r="U87" i="15"/>
  <c r="U85" i="15"/>
  <c r="U90" i="15"/>
  <c r="Q85" i="15"/>
  <c r="Q86" i="15"/>
  <c r="Q87" i="15"/>
  <c r="Q90" i="15"/>
  <c r="Q89" i="15"/>
  <c r="Q88" i="15"/>
  <c r="T88" i="15"/>
  <c r="T87" i="15"/>
  <c r="T85" i="15"/>
  <c r="T90" i="15"/>
  <c r="T89" i="15"/>
  <c r="T86" i="15"/>
  <c r="S88" i="15"/>
  <c r="S85" i="15"/>
  <c r="S86" i="15"/>
  <c r="S87" i="15"/>
  <c r="S90" i="15"/>
  <c r="S89" i="15"/>
  <c r="V73" i="15"/>
  <c r="V86" i="15"/>
  <c r="V83" i="15"/>
  <c r="V78" i="15"/>
  <c r="V87" i="15"/>
  <c r="V85" i="15"/>
  <c r="V89" i="15"/>
  <c r="V82" i="15"/>
  <c r="V79" i="15"/>
  <c r="V80" i="15"/>
  <c r="V84" i="15"/>
  <c r="V81" i="15"/>
  <c r="V90" i="15"/>
  <c r="V88" i="15"/>
  <c r="R73" i="15"/>
  <c r="R78" i="15"/>
  <c r="R83" i="15"/>
  <c r="R80" i="15"/>
  <c r="R82" i="15"/>
  <c r="R81" i="15"/>
  <c r="R84" i="15"/>
  <c r="R79" i="15"/>
  <c r="U73" i="15"/>
  <c r="U78" i="15"/>
  <c r="U83" i="15"/>
  <c r="U84" i="15"/>
  <c r="U81" i="15"/>
  <c r="U79" i="15"/>
  <c r="U82" i="15"/>
  <c r="U80" i="15"/>
  <c r="Q73" i="15"/>
  <c r="Q83" i="15"/>
  <c r="Q78" i="15"/>
  <c r="Q84" i="15"/>
  <c r="Q79" i="15"/>
  <c r="Q80" i="15"/>
  <c r="Q82" i="15"/>
  <c r="Q81" i="15"/>
  <c r="Z73" i="15"/>
  <c r="Z86" i="15"/>
  <c r="Z78" i="15"/>
  <c r="Z83" i="15"/>
  <c r="Z85" i="15"/>
  <c r="Z89" i="15"/>
  <c r="Z82" i="15"/>
  <c r="Z88" i="15"/>
  <c r="Z81" i="15"/>
  <c r="Z90" i="15"/>
  <c r="Z84" i="15"/>
  <c r="Z79" i="15"/>
  <c r="Z87" i="15"/>
  <c r="Z80" i="15"/>
  <c r="T73" i="15"/>
  <c r="T83" i="15"/>
  <c r="T78" i="15"/>
  <c r="T82" i="15"/>
  <c r="T84" i="15"/>
  <c r="T80" i="15"/>
  <c r="T81" i="15"/>
  <c r="T79" i="15"/>
  <c r="AC73" i="15"/>
  <c r="AC83" i="15"/>
  <c r="AC86" i="15"/>
  <c r="AC78" i="15"/>
  <c r="AC81" i="15"/>
  <c r="AC90" i="15"/>
  <c r="AC88" i="15"/>
  <c r="AC79" i="15"/>
  <c r="AC87" i="15"/>
  <c r="AC89" i="15"/>
  <c r="AC82" i="15"/>
  <c r="AC85" i="15"/>
  <c r="AC80" i="15"/>
  <c r="AC84" i="15"/>
  <c r="Y73" i="15"/>
  <c r="Y83" i="15"/>
  <c r="Y86" i="15"/>
  <c r="Y78" i="15"/>
  <c r="Y90" i="15"/>
  <c r="Y89" i="15"/>
  <c r="Y84" i="15"/>
  <c r="Y79" i="15"/>
  <c r="Y87" i="15"/>
  <c r="Y80" i="15"/>
  <c r="Y82" i="15"/>
  <c r="Y81" i="15"/>
  <c r="Y88" i="15"/>
  <c r="Y85" i="15"/>
  <c r="S73" i="15"/>
  <c r="S78" i="15"/>
  <c r="S83" i="15"/>
  <c r="S81" i="15"/>
  <c r="S84" i="15"/>
  <c r="S80" i="15"/>
  <c r="S79" i="15"/>
  <c r="S82" i="15"/>
  <c r="AB73" i="15"/>
  <c r="AB86" i="15"/>
  <c r="AB78" i="15"/>
  <c r="AB83" i="15"/>
  <c r="AB89" i="15"/>
  <c r="AB82" i="15"/>
  <c r="AB85" i="15"/>
  <c r="AB84" i="15"/>
  <c r="AB80" i="15"/>
  <c r="AB81" i="15"/>
  <c r="AB90" i="15"/>
  <c r="AB79" i="15"/>
  <c r="AB88" i="15"/>
  <c r="AB87" i="15"/>
  <c r="X73" i="15"/>
  <c r="X78" i="15"/>
  <c r="X83" i="15"/>
  <c r="X86" i="15"/>
  <c r="X82" i="15"/>
  <c r="X88" i="15"/>
  <c r="X85" i="15"/>
  <c r="X89" i="15"/>
  <c r="X90" i="15"/>
  <c r="X79" i="15"/>
  <c r="X87" i="15"/>
  <c r="X84" i="15"/>
  <c r="X80" i="15"/>
  <c r="X81" i="15"/>
  <c r="AA73" i="15"/>
  <c r="AA78" i="15"/>
  <c r="AA83" i="15"/>
  <c r="AA86" i="15"/>
  <c r="AA90" i="15"/>
  <c r="AA81" i="15"/>
  <c r="AA84" i="15"/>
  <c r="AA80" i="15"/>
  <c r="AA79" i="15"/>
  <c r="AA87" i="15"/>
  <c r="AA82" i="15"/>
  <c r="AA85" i="15"/>
  <c r="AA89" i="15"/>
  <c r="AA88" i="15"/>
  <c r="W73" i="15"/>
  <c r="W78" i="15"/>
  <c r="W83" i="15"/>
  <c r="W86" i="15"/>
  <c r="W84" i="15"/>
  <c r="W80" i="15"/>
  <c r="W81" i="15"/>
  <c r="W90" i="15"/>
  <c r="W88" i="15"/>
  <c r="W87" i="15"/>
  <c r="W85" i="15"/>
  <c r="W89" i="15"/>
  <c r="W82" i="15"/>
  <c r="W79" i="15"/>
  <c r="D145" i="15" l="1"/>
  <c r="K134" i="15"/>
  <c r="K143" i="15"/>
  <c r="I141" i="15"/>
  <c r="G145" i="15"/>
  <c r="B139" i="15"/>
  <c r="N145" i="15"/>
  <c r="H134" i="15"/>
  <c r="E143" i="15"/>
  <c r="G137" i="15"/>
  <c r="G146" i="15"/>
  <c r="F142" i="15"/>
  <c r="B144" i="15"/>
  <c r="B143" i="15"/>
  <c r="C134" i="15"/>
  <c r="H144" i="15"/>
  <c r="E142" i="15"/>
  <c r="C139" i="15"/>
  <c r="J143" i="15"/>
  <c r="K142" i="15"/>
  <c r="E145" i="15"/>
  <c r="B138" i="15"/>
  <c r="G135" i="15"/>
  <c r="G134" i="15"/>
  <c r="F140" i="15"/>
  <c r="D140" i="15"/>
  <c r="L143" i="15"/>
  <c r="I140" i="15"/>
  <c r="L145" i="15"/>
  <c r="G138" i="15"/>
  <c r="E135" i="15"/>
  <c r="E146" i="15"/>
  <c r="C144" i="15"/>
  <c r="M139" i="15"/>
  <c r="D146" i="15"/>
  <c r="I135" i="15"/>
  <c r="L141" i="15"/>
  <c r="C141" i="15"/>
  <c r="M143" i="15"/>
  <c r="G142" i="15"/>
  <c r="L135" i="15"/>
  <c r="F146" i="15"/>
  <c r="D136" i="15"/>
  <c r="N136" i="15"/>
  <c r="E141" i="15"/>
  <c r="H137" i="15"/>
  <c r="G144" i="15"/>
  <c r="B136" i="15"/>
  <c r="I137" i="15"/>
  <c r="B145" i="15"/>
  <c r="L134" i="15"/>
  <c r="M136" i="15"/>
  <c r="J141" i="15"/>
  <c r="C145" i="15"/>
  <c r="B140" i="15"/>
  <c r="L138" i="15"/>
  <c r="L136" i="15"/>
  <c r="N142" i="15"/>
  <c r="K136" i="15"/>
  <c r="M146" i="15"/>
  <c r="G136" i="15"/>
  <c r="F139" i="15"/>
  <c r="H143" i="15"/>
  <c r="E144" i="15"/>
  <c r="B135" i="15"/>
  <c r="B146" i="15"/>
  <c r="M140" i="15"/>
  <c r="I138" i="15"/>
  <c r="D144" i="15"/>
  <c r="L144" i="15"/>
  <c r="J136" i="15"/>
  <c r="H140" i="15"/>
  <c r="C137" i="15"/>
  <c r="B141" i="15"/>
  <c r="C135" i="15"/>
  <c r="E140" i="15"/>
  <c r="K137" i="15"/>
  <c r="G143" i="15"/>
  <c r="K139" i="15"/>
  <c r="B142" i="15"/>
  <c r="F135" i="15"/>
  <c r="F141" i="15"/>
  <c r="H138" i="15"/>
  <c r="N141" i="15"/>
  <c r="D134" i="15"/>
  <c r="K138" i="15"/>
  <c r="L137" i="15"/>
  <c r="F143" i="15"/>
  <c r="C138" i="15"/>
  <c r="K146" i="15"/>
  <c r="I139" i="15"/>
  <c r="J137" i="15"/>
  <c r="M135" i="15"/>
  <c r="N139" i="15"/>
  <c r="F144" i="15"/>
  <c r="K141" i="15"/>
  <c r="J134" i="15"/>
  <c r="H136" i="15"/>
  <c r="H142" i="15"/>
  <c r="F136" i="15"/>
  <c r="J140" i="15"/>
  <c r="N134" i="15"/>
  <c r="H146" i="15"/>
  <c r="J135" i="15"/>
  <c r="B134" i="15"/>
  <c r="J138" i="15"/>
  <c r="M142" i="15"/>
  <c r="C146" i="15"/>
  <c r="L140" i="15"/>
  <c r="E139" i="15"/>
  <c r="M144" i="15"/>
  <c r="E134" i="15"/>
  <c r="D142" i="15"/>
  <c r="N137" i="15"/>
  <c r="D141" i="15"/>
  <c r="K140" i="15"/>
  <c r="H145" i="15"/>
  <c r="D139" i="15"/>
  <c r="K144" i="15"/>
  <c r="M137" i="15"/>
  <c r="E137" i="15"/>
  <c r="I144" i="15"/>
  <c r="E136" i="15"/>
  <c r="N135" i="15"/>
  <c r="F145" i="15"/>
  <c r="L142" i="15"/>
  <c r="L139" i="15"/>
  <c r="I146" i="15"/>
  <c r="I134" i="15"/>
  <c r="J139" i="15"/>
  <c r="C136" i="15"/>
  <c r="N138" i="15"/>
  <c r="G140" i="15"/>
  <c r="K135" i="15"/>
  <c r="M134" i="15"/>
  <c r="C140" i="15"/>
  <c r="F138" i="15"/>
  <c r="J142" i="15"/>
  <c r="E138" i="15"/>
  <c r="F137" i="15"/>
  <c r="H135" i="15"/>
  <c r="M145" i="15"/>
  <c r="H141" i="15"/>
  <c r="G139" i="15"/>
  <c r="L146" i="15"/>
  <c r="D143" i="15"/>
  <c r="N146" i="15"/>
  <c r="J144" i="15"/>
  <c r="N140" i="15"/>
  <c r="C142" i="15"/>
  <c r="N143" i="15"/>
  <c r="I136" i="15"/>
  <c r="B137" i="15"/>
  <c r="D138" i="15"/>
  <c r="M138" i="15"/>
  <c r="I142" i="15"/>
  <c r="M141" i="15"/>
  <c r="D137" i="15"/>
  <c r="G141" i="15"/>
  <c r="D135" i="15"/>
  <c r="I143" i="15"/>
  <c r="I145" i="15"/>
  <c r="J146" i="15"/>
  <c r="K145" i="15"/>
  <c r="J145" i="15"/>
  <c r="H139" i="15"/>
  <c r="C143" i="15"/>
  <c r="F134" i="15"/>
  <c r="B19" i="13"/>
  <c r="C19" i="13"/>
  <c r="D19" i="13"/>
  <c r="E19" i="13"/>
  <c r="B20" i="13"/>
  <c r="C20" i="13"/>
  <c r="D20" i="13"/>
  <c r="E20" i="13"/>
  <c r="H14" i="13"/>
  <c r="J12" i="13"/>
  <c r="I8" i="13"/>
  <c r="J16" i="13" l="1"/>
  <c r="K18" i="13"/>
  <c r="I14" i="13"/>
  <c r="I9" i="13"/>
  <c r="I16" i="13"/>
  <c r="I15" i="13"/>
  <c r="I10" i="13"/>
  <c r="I11" i="13"/>
  <c r="I18" i="13"/>
  <c r="I17" i="13"/>
  <c r="K12" i="13"/>
  <c r="I13" i="13"/>
  <c r="I7" i="13"/>
  <c r="K9" i="13"/>
  <c r="K13" i="13"/>
  <c r="K17" i="13"/>
  <c r="J18" i="13"/>
  <c r="J10" i="13"/>
  <c r="J8" i="13"/>
  <c r="J14" i="13"/>
  <c r="K11" i="13"/>
  <c r="J15" i="13"/>
  <c r="H18" i="13"/>
  <c r="H17" i="13"/>
  <c r="H13" i="13"/>
  <c r="H10" i="13"/>
  <c r="H16" i="13"/>
  <c r="H8" i="13"/>
  <c r="H11" i="13"/>
  <c r="K16" i="13"/>
  <c r="K10" i="13"/>
  <c r="K15" i="13"/>
  <c r="K8" i="13"/>
  <c r="K7" i="13"/>
  <c r="K14" i="13"/>
  <c r="J7" i="13"/>
  <c r="H15" i="13"/>
  <c r="H7" i="13"/>
  <c r="J13" i="13"/>
  <c r="J11" i="13"/>
  <c r="J17" i="13"/>
  <c r="J9" i="13"/>
  <c r="H9" i="13"/>
  <c r="H12" i="13"/>
  <c r="I12" i="13"/>
  <c r="K76" i="12"/>
  <c r="J76" i="12"/>
  <c r="I76" i="12"/>
  <c r="I77" i="12" s="1"/>
  <c r="E65" i="12"/>
  <c r="D65" i="12"/>
  <c r="J57" i="12" s="1"/>
  <c r="C65" i="12"/>
  <c r="I61" i="12" s="1"/>
  <c r="B65" i="12"/>
  <c r="H53" i="12" s="1"/>
  <c r="H88" i="12" s="1"/>
  <c r="E64" i="12"/>
  <c r="D64" i="12"/>
  <c r="C64" i="12"/>
  <c r="B64" i="12"/>
  <c r="E18" i="12"/>
  <c r="D18" i="12"/>
  <c r="C18" i="12"/>
  <c r="B18" i="12"/>
  <c r="E17" i="12"/>
  <c r="D17" i="12"/>
  <c r="C17" i="12"/>
  <c r="B17" i="12"/>
  <c r="J54" i="12" l="1"/>
  <c r="J77" i="12"/>
  <c r="K77" i="12" s="1"/>
  <c r="J61" i="12"/>
  <c r="J52" i="12"/>
  <c r="J62" i="12"/>
  <c r="J58" i="12"/>
  <c r="I62" i="12"/>
  <c r="J53" i="12"/>
  <c r="I54" i="12"/>
  <c r="I58" i="12"/>
  <c r="K52" i="12"/>
  <c r="H19" i="13"/>
  <c r="H20" i="13"/>
  <c r="J19" i="13"/>
  <c r="J20" i="13"/>
  <c r="I19" i="13"/>
  <c r="K20" i="13"/>
  <c r="K19" i="13"/>
  <c r="I20" i="13"/>
  <c r="K53" i="12"/>
  <c r="K54" i="12"/>
  <c r="K58" i="12"/>
  <c r="K62" i="12"/>
  <c r="K59" i="12"/>
  <c r="K57" i="12"/>
  <c r="K63" i="12"/>
  <c r="K56" i="12"/>
  <c r="K60" i="12"/>
  <c r="H62" i="12"/>
  <c r="H97" i="12" s="1"/>
  <c r="K61" i="12"/>
  <c r="K55" i="12"/>
  <c r="I53" i="12"/>
  <c r="I57" i="12"/>
  <c r="I59" i="12"/>
  <c r="J63" i="12"/>
  <c r="H52" i="12"/>
  <c r="H56" i="12"/>
  <c r="H91" i="12" s="1"/>
  <c r="H60" i="12"/>
  <c r="H95" i="12" s="1"/>
  <c r="I52" i="12"/>
  <c r="I56" i="12"/>
  <c r="I60" i="12"/>
  <c r="H57" i="12"/>
  <c r="H92" i="12" s="1"/>
  <c r="H61" i="12"/>
  <c r="H96" i="12" s="1"/>
  <c r="H55" i="12"/>
  <c r="H90" i="12" s="1"/>
  <c r="J56" i="12"/>
  <c r="H59" i="12"/>
  <c r="H94" i="12" s="1"/>
  <c r="J60" i="12"/>
  <c r="H63" i="12"/>
  <c r="H98" i="12" s="1"/>
  <c r="I63" i="12"/>
  <c r="I55" i="12"/>
  <c r="H54" i="12"/>
  <c r="H89" i="12" s="1"/>
  <c r="J55" i="12"/>
  <c r="H58" i="12"/>
  <c r="H93" i="12" s="1"/>
  <c r="J59" i="12"/>
  <c r="K70" i="12" l="1"/>
  <c r="K65" i="12"/>
  <c r="K71" i="12"/>
  <c r="K64" i="12"/>
  <c r="J64" i="12"/>
  <c r="J71" i="12"/>
  <c r="J65" i="12"/>
  <c r="I70" i="12"/>
  <c r="I65" i="12"/>
  <c r="I64" i="12"/>
  <c r="K69" i="12"/>
  <c r="J69" i="12"/>
  <c r="I87" i="12" a="1"/>
  <c r="I69" i="12"/>
  <c r="I71" i="12"/>
  <c r="J70" i="12"/>
  <c r="H65" i="12"/>
  <c r="H64" i="12"/>
  <c r="H87" i="12"/>
  <c r="B17" i="10"/>
  <c r="C16" i="10"/>
  <c r="B16" i="10"/>
  <c r="C15" i="10"/>
  <c r="B15" i="10"/>
  <c r="B19" i="10" l="1"/>
  <c r="B20" i="10" s="1"/>
  <c r="F12" i="10" s="1"/>
  <c r="K98" i="12"/>
  <c r="I96" i="12"/>
  <c r="J93" i="12"/>
  <c r="K90" i="12"/>
  <c r="I88" i="12"/>
  <c r="J98" i="12"/>
  <c r="K95" i="12"/>
  <c r="I93" i="12"/>
  <c r="J90" i="12"/>
  <c r="K87" i="12"/>
  <c r="I98" i="12"/>
  <c r="J95" i="12"/>
  <c r="K92" i="12"/>
  <c r="I90" i="12"/>
  <c r="J87" i="12"/>
  <c r="K97" i="12"/>
  <c r="I95" i="12"/>
  <c r="J92" i="12"/>
  <c r="K89" i="12"/>
  <c r="I87" i="12"/>
  <c r="J97" i="12"/>
  <c r="K94" i="12"/>
  <c r="I92" i="12"/>
  <c r="J89" i="12"/>
  <c r="I97" i="12"/>
  <c r="J94" i="12"/>
  <c r="K91" i="12"/>
  <c r="I89" i="12"/>
  <c r="K96" i="12"/>
  <c r="I94" i="12"/>
  <c r="J91" i="12"/>
  <c r="K88" i="12"/>
  <c r="J96" i="12"/>
  <c r="K93" i="12"/>
  <c r="I91" i="12"/>
  <c r="J88" i="12"/>
  <c r="C18" i="8"/>
  <c r="B18" i="8"/>
  <c r="F13" i="8"/>
  <c r="F8" i="8"/>
  <c r="F5" i="8"/>
  <c r="F3" i="8"/>
  <c r="G12" i="10" l="1"/>
  <c r="G10" i="8"/>
  <c r="F23" i="8"/>
  <c r="G25" i="8"/>
  <c r="W25" i="8" s="1"/>
  <c r="H101" i="12" a="1"/>
  <c r="S103" i="12" s="1"/>
  <c r="F6" i="10"/>
  <c r="F10" i="10"/>
  <c r="F5" i="10"/>
  <c r="F9" i="10"/>
  <c r="F3" i="10"/>
  <c r="F13" i="10"/>
  <c r="F7" i="10"/>
  <c r="F4" i="10"/>
  <c r="F11" i="10"/>
  <c r="F8" i="10"/>
  <c r="F2" i="10"/>
  <c r="G6" i="8"/>
  <c r="F9" i="8"/>
  <c r="G14" i="8"/>
  <c r="F17" i="8"/>
  <c r="G23" i="8"/>
  <c r="G24" i="8"/>
  <c r="W24" i="8" s="1"/>
  <c r="G9" i="8"/>
  <c r="F12" i="8"/>
  <c r="G17" i="8"/>
  <c r="F26" i="8"/>
  <c r="V26" i="8" s="1"/>
  <c r="F7" i="8"/>
  <c r="G12" i="8"/>
  <c r="F15" i="8"/>
  <c r="G26" i="8"/>
  <c r="W26" i="8" s="1"/>
  <c r="G3" i="8"/>
  <c r="G7" i="8"/>
  <c r="F10" i="8"/>
  <c r="G15" i="8"/>
  <c r="F24" i="8"/>
  <c r="V24" i="8" s="1"/>
  <c r="G5" i="8"/>
  <c r="G13" i="8"/>
  <c r="F16" i="8"/>
  <c r="F4" i="8"/>
  <c r="G8" i="8"/>
  <c r="F11" i="8"/>
  <c r="G16" i="8"/>
  <c r="F25" i="8"/>
  <c r="V25" i="8" s="1"/>
  <c r="G4" i="8"/>
  <c r="F6" i="8"/>
  <c r="G11" i="8"/>
  <c r="F14" i="8"/>
  <c r="G13" i="10" l="1"/>
  <c r="G3" i="10"/>
  <c r="G9" i="10"/>
  <c r="G5" i="10"/>
  <c r="G8" i="10"/>
  <c r="G10" i="10"/>
  <c r="G11" i="10"/>
  <c r="G6" i="10"/>
  <c r="G4" i="10"/>
  <c r="G7" i="10"/>
  <c r="G2" i="10"/>
  <c r="G19" i="10"/>
  <c r="G17" i="10"/>
  <c r="G18" i="10" s="1"/>
  <c r="F29" i="8"/>
  <c r="V23" i="8"/>
  <c r="F28" i="8"/>
  <c r="G28" i="8"/>
  <c r="W23" i="8"/>
  <c r="G29" i="8"/>
  <c r="J3" i="8"/>
  <c r="M101" i="12"/>
  <c r="N102" i="12"/>
  <c r="I102" i="12"/>
  <c r="I101" i="12"/>
  <c r="R103" i="12"/>
  <c r="M103" i="12"/>
  <c r="O103" i="12"/>
  <c r="M102" i="12"/>
  <c r="K101" i="12"/>
  <c r="P103" i="12"/>
  <c r="J103" i="12"/>
  <c r="S102" i="12"/>
  <c r="L101" i="12"/>
  <c r="N101" i="12"/>
  <c r="H101" i="12"/>
  <c r="I103" i="12"/>
  <c r="S101" i="12"/>
  <c r="O101" i="12"/>
  <c r="K102" i="12"/>
  <c r="Q102" i="12"/>
  <c r="Q101" i="12"/>
  <c r="H102" i="12"/>
  <c r="J102" i="12"/>
  <c r="P101" i="12"/>
  <c r="Q103" i="12"/>
  <c r="O102" i="12"/>
  <c r="P102" i="12"/>
  <c r="R102" i="12"/>
  <c r="L102" i="12"/>
  <c r="J101" i="12"/>
  <c r="K103" i="12"/>
  <c r="L103" i="12"/>
  <c r="N103" i="12"/>
  <c r="H103" i="12"/>
  <c r="R101" i="12"/>
  <c r="K3" i="8"/>
  <c r="N3" i="8" a="1"/>
  <c r="K4" i="8"/>
  <c r="G18" i="8"/>
  <c r="J4" i="8"/>
  <c r="F18" i="8"/>
  <c r="C57" i="5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H25" i="5"/>
  <c r="C22" i="5"/>
  <c r="G17" i="5" s="1"/>
  <c r="B22" i="5"/>
  <c r="F20" i="5" s="1"/>
  <c r="H20" i="5" s="1"/>
  <c r="G20" i="5"/>
  <c r="G19" i="5"/>
  <c r="F18" i="5"/>
  <c r="F17" i="5"/>
  <c r="G16" i="5"/>
  <c r="G15" i="5"/>
  <c r="G14" i="5"/>
  <c r="F14" i="5"/>
  <c r="H14" i="5" s="1"/>
  <c r="G13" i="5"/>
  <c r="F13" i="5"/>
  <c r="G12" i="5"/>
  <c r="G11" i="5"/>
  <c r="G10" i="5"/>
  <c r="F9" i="5"/>
  <c r="G8" i="5"/>
  <c r="F8" i="5"/>
  <c r="H8" i="5" s="1"/>
  <c r="G7" i="5"/>
  <c r="F7" i="5"/>
  <c r="H7" i="5" s="1"/>
  <c r="G6" i="5"/>
  <c r="G5" i="5"/>
  <c r="G4" i="5"/>
  <c r="G3" i="5"/>
  <c r="G2" i="5"/>
  <c r="C57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C23" i="4"/>
  <c r="B23" i="4"/>
  <c r="C22" i="4"/>
  <c r="G14" i="4" s="1"/>
  <c r="B22" i="4"/>
  <c r="G15" i="10" l="1"/>
  <c r="G18" i="5"/>
  <c r="H18" i="5" s="1"/>
  <c r="F17" i="4"/>
  <c r="F5" i="5"/>
  <c r="H5" i="5" s="1"/>
  <c r="F16" i="5"/>
  <c r="H16" i="5" s="1"/>
  <c r="P106" i="12" a="1"/>
  <c r="P106" i="12" s="1"/>
  <c r="G57" i="5"/>
  <c r="F10" i="5"/>
  <c r="H10" i="5" s="1"/>
  <c r="F19" i="5"/>
  <c r="H19" i="5" s="1"/>
  <c r="F15" i="5"/>
  <c r="H15" i="5" s="1"/>
  <c r="F6" i="5"/>
  <c r="H6" i="5" s="1"/>
  <c r="F2" i="5"/>
  <c r="H2" i="5" s="1"/>
  <c r="F11" i="5"/>
  <c r="G6" i="4"/>
  <c r="F3" i="5"/>
  <c r="H106" i="12" a="1"/>
  <c r="I107" i="12" s="1"/>
  <c r="P108" i="12"/>
  <c r="O15" i="8"/>
  <c r="O11" i="8"/>
  <c r="O7" i="8"/>
  <c r="O3" i="8"/>
  <c r="N15" i="8"/>
  <c r="N11" i="8"/>
  <c r="N7" i="8"/>
  <c r="N3" i="8"/>
  <c r="O10" i="8"/>
  <c r="O6" i="8"/>
  <c r="N10" i="8"/>
  <c r="O17" i="8"/>
  <c r="O13" i="8"/>
  <c r="O9" i="8"/>
  <c r="O5" i="8"/>
  <c r="N17" i="8"/>
  <c r="N13" i="8"/>
  <c r="N5" i="8"/>
  <c r="N14" i="8"/>
  <c r="N9" i="8"/>
  <c r="O14" i="8"/>
  <c r="O16" i="8"/>
  <c r="O12" i="8"/>
  <c r="O8" i="8"/>
  <c r="O4" i="8"/>
  <c r="N6" i="8"/>
  <c r="R6" i="8" s="1"/>
  <c r="N16" i="8"/>
  <c r="N12" i="8"/>
  <c r="N8" i="8"/>
  <c r="N4" i="8"/>
  <c r="R24" i="8"/>
  <c r="G10" i="4"/>
  <c r="F9" i="4"/>
  <c r="G11" i="4"/>
  <c r="F16" i="4"/>
  <c r="H11" i="5"/>
  <c r="F5" i="4"/>
  <c r="G16" i="4"/>
  <c r="F21" i="5"/>
  <c r="G7" i="4"/>
  <c r="G15" i="4"/>
  <c r="F12" i="4"/>
  <c r="G5" i="4"/>
  <c r="H3" i="5"/>
  <c r="G21" i="5"/>
  <c r="H13" i="5"/>
  <c r="H17" i="5"/>
  <c r="G57" i="4"/>
  <c r="G17" i="4"/>
  <c r="H17" i="4" s="1"/>
  <c r="G2" i="4"/>
  <c r="F8" i="4"/>
  <c r="F13" i="4"/>
  <c r="G18" i="4"/>
  <c r="F3" i="4"/>
  <c r="G8" i="4"/>
  <c r="G13" i="4"/>
  <c r="G21" i="4"/>
  <c r="G12" i="4"/>
  <c r="H12" i="4" s="1"/>
  <c r="G3" i="4"/>
  <c r="F18" i="4"/>
  <c r="G4" i="4"/>
  <c r="G9" i="4"/>
  <c r="G19" i="4"/>
  <c r="F21" i="4"/>
  <c r="H21" i="4" s="1"/>
  <c r="F4" i="4"/>
  <c r="F6" i="4"/>
  <c r="F14" i="4"/>
  <c r="H14" i="4" s="1"/>
  <c r="F20" i="4"/>
  <c r="F2" i="4"/>
  <c r="F10" i="4"/>
  <c r="F19" i="4"/>
  <c r="H19" i="4" s="1"/>
  <c r="G20" i="4"/>
  <c r="F7" i="4"/>
  <c r="F11" i="4"/>
  <c r="H11" i="4" s="1"/>
  <c r="F15" i="4"/>
  <c r="F4" i="5"/>
  <c r="H4" i="5" s="1"/>
  <c r="G9" i="5"/>
  <c r="H9" i="5" s="1"/>
  <c r="F12" i="5"/>
  <c r="H12" i="5" s="1"/>
  <c r="O8" i="3"/>
  <c r="N8" i="3"/>
  <c r="M8" i="3"/>
  <c r="L8" i="3"/>
  <c r="K8" i="3"/>
  <c r="J8" i="3"/>
  <c r="I8" i="3"/>
  <c r="H8" i="3"/>
  <c r="G8" i="3"/>
  <c r="F8" i="3"/>
  <c r="E8" i="3"/>
  <c r="D8" i="3"/>
  <c r="C8" i="3"/>
  <c r="O6" i="3"/>
  <c r="N6" i="3"/>
  <c r="M6" i="3"/>
  <c r="L6" i="3"/>
  <c r="K6" i="3"/>
  <c r="J6" i="3"/>
  <c r="I6" i="3"/>
  <c r="H6" i="3"/>
  <c r="G6" i="3"/>
  <c r="F6" i="3"/>
  <c r="E6" i="3"/>
  <c r="D6" i="3"/>
  <c r="C6" i="3"/>
  <c r="O5" i="3"/>
  <c r="N5" i="3"/>
  <c r="M5" i="3"/>
  <c r="L5" i="3"/>
  <c r="K5" i="3"/>
  <c r="J5" i="3"/>
  <c r="I5" i="3"/>
  <c r="H5" i="3"/>
  <c r="G5" i="3"/>
  <c r="F5" i="3"/>
  <c r="E5" i="3"/>
  <c r="D5" i="3"/>
  <c r="C5" i="3"/>
  <c r="O4" i="3"/>
  <c r="N4" i="3"/>
  <c r="M4" i="3"/>
  <c r="L4" i="3"/>
  <c r="K4" i="3"/>
  <c r="J4" i="3"/>
  <c r="I4" i="3"/>
  <c r="H4" i="3"/>
  <c r="G4" i="3"/>
  <c r="F4" i="3"/>
  <c r="E4" i="3"/>
  <c r="D4" i="3"/>
  <c r="C4" i="3"/>
  <c r="O3" i="3"/>
  <c r="N3" i="3"/>
  <c r="M3" i="3"/>
  <c r="L3" i="3"/>
  <c r="K3" i="3"/>
  <c r="J3" i="3"/>
  <c r="I3" i="3"/>
  <c r="H3" i="3"/>
  <c r="G3" i="3"/>
  <c r="F3" i="3"/>
  <c r="E3" i="3"/>
  <c r="D3" i="3"/>
  <c r="C3" i="3"/>
  <c r="O2" i="3"/>
  <c r="N2" i="3"/>
  <c r="M2" i="3"/>
  <c r="L2" i="3"/>
  <c r="K2" i="3"/>
  <c r="J2" i="3"/>
  <c r="I2" i="3"/>
  <c r="H2" i="3"/>
  <c r="G2" i="3"/>
  <c r="F2" i="3"/>
  <c r="E2" i="3"/>
  <c r="D2" i="3"/>
  <c r="C2" i="3"/>
  <c r="O1" i="3"/>
  <c r="N1" i="3"/>
  <c r="M1" i="3"/>
  <c r="L1" i="3"/>
  <c r="K1" i="3"/>
  <c r="J1" i="3"/>
  <c r="I1" i="3"/>
  <c r="H1" i="3"/>
  <c r="G1" i="3"/>
  <c r="F1" i="3"/>
  <c r="E1" i="3"/>
  <c r="D1" i="3"/>
  <c r="C1" i="3"/>
  <c r="E58" i="1"/>
  <c r="E54" i="1"/>
  <c r="G48" i="1"/>
  <c r="F48" i="1"/>
  <c r="E48" i="1"/>
  <c r="G47" i="1"/>
  <c r="F47" i="1"/>
  <c r="E47" i="1"/>
  <c r="G46" i="1"/>
  <c r="F46" i="1"/>
  <c r="E46" i="1"/>
  <c r="C24" i="1"/>
  <c r="B24" i="1"/>
  <c r="C23" i="1"/>
  <c r="B23" i="1"/>
  <c r="R25" i="8" l="1"/>
  <c r="R26" i="8"/>
  <c r="R5" i="8"/>
  <c r="R23" i="8"/>
  <c r="P107" i="12"/>
  <c r="R4" i="8"/>
  <c r="R11" i="8"/>
  <c r="J107" i="12"/>
  <c r="R12" i="8"/>
  <c r="H16" i="4"/>
  <c r="R14" i="8"/>
  <c r="H6" i="4"/>
  <c r="R9" i="8"/>
  <c r="I108" i="12"/>
  <c r="F4" i="1"/>
  <c r="F12" i="1"/>
  <c r="F20" i="1"/>
  <c r="F5" i="1"/>
  <c r="F13" i="1"/>
  <c r="F21" i="1"/>
  <c r="F6" i="1"/>
  <c r="F14" i="1"/>
  <c r="F22" i="1"/>
  <c r="F7" i="1"/>
  <c r="F15" i="1"/>
  <c r="F10" i="1"/>
  <c r="F18" i="1"/>
  <c r="F11" i="1"/>
  <c r="F19" i="1"/>
  <c r="F8" i="1"/>
  <c r="F16" i="1"/>
  <c r="F9" i="1"/>
  <c r="F17" i="1"/>
  <c r="G9" i="1"/>
  <c r="G17" i="1"/>
  <c r="G10" i="1"/>
  <c r="G18" i="1"/>
  <c r="G3" i="1"/>
  <c r="G11" i="1"/>
  <c r="G19" i="1"/>
  <c r="G4" i="1"/>
  <c r="G12" i="1"/>
  <c r="G20" i="1"/>
  <c r="G8" i="1"/>
  <c r="G16" i="1"/>
  <c r="G5" i="1"/>
  <c r="G13" i="1"/>
  <c r="G21" i="1"/>
  <c r="G6" i="1"/>
  <c r="G14" i="1"/>
  <c r="G22" i="1"/>
  <c r="G7" i="1"/>
  <c r="G15" i="1"/>
  <c r="H7" i="4"/>
  <c r="R10" i="8"/>
  <c r="H106" i="12"/>
  <c r="H108" i="12"/>
  <c r="H10" i="4"/>
  <c r="H9" i="4"/>
  <c r="R17" i="8"/>
  <c r="R3" i="8"/>
  <c r="H2" i="4"/>
  <c r="H21" i="5"/>
  <c r="H5" i="4"/>
  <c r="R7" i="8"/>
  <c r="J6" i="2"/>
  <c r="I6" i="2"/>
  <c r="H15" i="4"/>
  <c r="R15" i="8"/>
  <c r="J108" i="12"/>
  <c r="I106" i="12"/>
  <c r="J106" i="12"/>
  <c r="H107" i="12"/>
  <c r="L106" i="12" a="1"/>
  <c r="R8" i="8"/>
  <c r="R16" i="8"/>
  <c r="R13" i="8"/>
  <c r="H22" i="5"/>
  <c r="H23" i="5" s="1"/>
  <c r="H20" i="4"/>
  <c r="H18" i="4"/>
  <c r="H13" i="4"/>
  <c r="H3" i="4"/>
  <c r="H8" i="4"/>
  <c r="H4" i="4"/>
  <c r="F3" i="1"/>
  <c r="Q4" i="2" l="1"/>
  <c r="G23" i="1"/>
  <c r="G24" i="1"/>
  <c r="V3" i="8"/>
  <c r="F24" i="1"/>
  <c r="F23" i="1"/>
  <c r="Q5" i="2"/>
  <c r="Q3" i="2"/>
  <c r="M107" i="12"/>
  <c r="L107" i="12"/>
  <c r="N106" i="12"/>
  <c r="M106" i="12"/>
  <c r="N108" i="12"/>
  <c r="L106" i="12"/>
  <c r="M108" i="12"/>
  <c r="L108" i="12"/>
  <c r="N107" i="12"/>
  <c r="V2" i="8"/>
  <c r="V4" i="8"/>
  <c r="H22" i="4"/>
  <c r="H24" i="4" s="1"/>
  <c r="S106" i="12" l="1" a="1"/>
  <c r="S108" i="12" l="1"/>
  <c r="S107" i="12"/>
  <c r="S106" i="12"/>
  <c r="Q34" i="13" l="1" a="1"/>
  <c r="K49" i="12" a="1"/>
  <c r="K49" i="12" s="1"/>
  <c r="E49" i="12" s="1"/>
  <c r="J49" i="12" a="1"/>
  <c r="J49" i="12" s="1"/>
  <c r="D49" i="12" s="1"/>
  <c r="I49" i="12"/>
  <c r="V34" i="13" l="1"/>
  <c r="Z34" i="13"/>
  <c r="R34" i="13"/>
  <c r="Y34" i="13"/>
  <c r="X34" i="13"/>
  <c r="W34" i="13"/>
  <c r="U34" i="13"/>
  <c r="T34" i="13"/>
  <c r="S34" i="13"/>
  <c r="AB34" i="13"/>
  <c r="Q34" i="13"/>
  <c r="AA34" i="13"/>
  <c r="G62" i="12"/>
  <c r="G54" i="12"/>
  <c r="G58" i="12"/>
  <c r="G63" i="12"/>
  <c r="G59" i="12"/>
  <c r="G55" i="12"/>
  <c r="C49" i="12"/>
  <c r="G60" i="12"/>
  <c r="G52" i="12"/>
  <c r="G56" i="12"/>
  <c r="G61" i="12"/>
  <c r="G57" i="12"/>
  <c r="G53" i="12"/>
  <c r="B49" i="12" l="1"/>
  <c r="A61" i="12" s="1"/>
  <c r="G66" i="12"/>
  <c r="Q35" i="13" l="1" a="1"/>
  <c r="A52" i="12"/>
  <c r="A54" i="12"/>
  <c r="A58" i="12"/>
  <c r="A62" i="12"/>
  <c r="A60" i="12"/>
  <c r="A56" i="12"/>
  <c r="A55" i="12"/>
  <c r="A53" i="12"/>
  <c r="A66" i="12" s="1"/>
  <c r="A59" i="12"/>
  <c r="A57" i="12"/>
  <c r="A63" i="12"/>
  <c r="X37" i="13" l="1"/>
  <c r="AB36" i="13"/>
  <c r="T36" i="13"/>
  <c r="X35" i="13"/>
  <c r="AB37" i="13"/>
  <c r="T37" i="13"/>
  <c r="X36" i="13"/>
  <c r="AB35" i="13"/>
  <c r="T35" i="13"/>
  <c r="S37" i="13"/>
  <c r="U36" i="13"/>
  <c r="V35" i="13"/>
  <c r="R37" i="13"/>
  <c r="S36" i="13"/>
  <c r="U35" i="13"/>
  <c r="AA37" i="13"/>
  <c r="Q37" i="13"/>
  <c r="R36" i="13"/>
  <c r="S35" i="13"/>
  <c r="Z37" i="13"/>
  <c r="Q36" i="13"/>
  <c r="AA36" i="13"/>
  <c r="R35" i="13"/>
  <c r="Y37" i="13"/>
  <c r="Z36" i="13"/>
  <c r="AA35" i="13"/>
  <c r="Q35" i="13"/>
  <c r="W37" i="13"/>
  <c r="Y36" i="13"/>
  <c r="Z35" i="13"/>
  <c r="V37" i="13"/>
  <c r="W36" i="13"/>
  <c r="Y35" i="13"/>
  <c r="W35" i="13"/>
  <c r="U37" i="13"/>
  <c r="V36" i="13"/>
  <c r="Q40" i="13" l="1" a="1"/>
  <c r="Q41" i="13" l="1"/>
  <c r="Q42" i="13"/>
  <c r="Q40" i="13"/>
  <c r="Q45" i="13" l="1"/>
  <c r="R40" i="13" s="1"/>
  <c r="I25" i="13" l="1"/>
  <c r="J25" i="13"/>
  <c r="R42" i="13"/>
  <c r="R41" i="13"/>
  <c r="I27" i="13" l="1"/>
  <c r="J27" i="13"/>
  <c r="I26" i="13"/>
  <c r="J26" i="13"/>
  <c r="I30" i="13" a="1"/>
  <c r="S40" i="13" a="1"/>
  <c r="S41" i="13" s="1"/>
  <c r="I32" i="13" l="1"/>
  <c r="J36" i="13"/>
  <c r="K37" i="13"/>
  <c r="J33" i="13"/>
  <c r="I31" i="13"/>
  <c r="J30" i="13"/>
  <c r="J34" i="13"/>
  <c r="J32" i="13"/>
  <c r="K35" i="13"/>
  <c r="J31" i="13"/>
  <c r="K40" i="13"/>
  <c r="I40" i="13"/>
  <c r="K33" i="13"/>
  <c r="K38" i="13"/>
  <c r="I38" i="13"/>
  <c r="I36" i="13"/>
  <c r="K31" i="13"/>
  <c r="I41" i="13"/>
  <c r="K36" i="13"/>
  <c r="I34" i="13"/>
  <c r="J41" i="13"/>
  <c r="I39" i="13"/>
  <c r="K34" i="13"/>
  <c r="J37" i="13"/>
  <c r="K30" i="13"/>
  <c r="I30" i="13"/>
  <c r="J39" i="13"/>
  <c r="I37" i="13"/>
  <c r="K32" i="13"/>
  <c r="I35" i="13"/>
  <c r="K41" i="13"/>
  <c r="J40" i="13"/>
  <c r="K39" i="13"/>
  <c r="J35" i="13"/>
  <c r="I33" i="13"/>
  <c r="J38" i="13"/>
  <c r="S44" i="13"/>
  <c r="S40" i="13"/>
  <c r="S48" i="13"/>
  <c r="S51" i="13"/>
  <c r="S42" i="13"/>
  <c r="S43" i="13"/>
  <c r="S45" i="13"/>
  <c r="S46" i="13"/>
  <c r="S47" i="13"/>
  <c r="S49" i="13"/>
  <c r="S50" i="13"/>
  <c r="B44" i="13" l="1" a="1"/>
  <c r="T40" i="13" a="1"/>
  <c r="T42" i="13" s="1"/>
  <c r="T45" i="13"/>
  <c r="W40" i="13" a="1"/>
  <c r="W40" i="13" s="1"/>
  <c r="X40" i="13" s="1"/>
  <c r="Q54" i="13" s="1" a="1"/>
  <c r="Q54" i="13" s="1"/>
  <c r="V54" i="13" s="1"/>
  <c r="H44" i="13" l="1"/>
  <c r="M44" i="13"/>
  <c r="D44" i="13"/>
  <c r="B45" i="13"/>
  <c r="C45" i="13"/>
  <c r="I45" i="13"/>
  <c r="E44" i="13"/>
  <c r="J45" i="13"/>
  <c r="F44" i="13"/>
  <c r="K45" i="13"/>
  <c r="L44" i="13"/>
  <c r="G44" i="13"/>
  <c r="C44" i="13"/>
  <c r="M45" i="13"/>
  <c r="E45" i="13"/>
  <c r="J44" i="13"/>
  <c r="D45" i="13"/>
  <c r="I44" i="13"/>
  <c r="B44" i="13"/>
  <c r="G45" i="13"/>
  <c r="H45" i="13"/>
  <c r="L45" i="13"/>
  <c r="K44" i="13"/>
  <c r="F45" i="13"/>
  <c r="V42" i="13"/>
  <c r="T40" i="13"/>
  <c r="V40" i="13" s="1"/>
  <c r="T41" i="13"/>
  <c r="V41" i="13" s="1"/>
  <c r="Q64" i="13"/>
  <c r="V64" i="13" s="1"/>
  <c r="Q58" i="13"/>
  <c r="V58" i="13" s="1"/>
  <c r="Q56" i="13"/>
  <c r="V56" i="13" s="1"/>
  <c r="Q59" i="13"/>
  <c r="V59" i="13" s="1"/>
  <c r="Q55" i="13"/>
  <c r="V55" i="13" s="1"/>
  <c r="Q57" i="13"/>
  <c r="V57" i="13" s="1"/>
  <c r="Q60" i="13"/>
  <c r="V60" i="13" s="1"/>
  <c r="Q65" i="13"/>
  <c r="V65" i="13" s="1"/>
  <c r="Q62" i="13"/>
  <c r="V62" i="13" s="1"/>
  <c r="Q61" i="13"/>
  <c r="V61" i="13" s="1"/>
  <c r="Q63" i="13"/>
  <c r="V63" i="13" s="1"/>
  <c r="H48" i="13" l="1" a="1"/>
  <c r="A48" i="13" a="1"/>
  <c r="W44" i="13" a="1"/>
  <c r="X44" i="13" s="1"/>
  <c r="B48" i="13" l="1"/>
  <c r="A48" i="13"/>
  <c r="B49" i="13"/>
  <c r="A49" i="13"/>
  <c r="W44" i="13"/>
  <c r="Y44" i="13"/>
  <c r="H49" i="13"/>
  <c r="H48" i="13"/>
  <c r="R54" i="13" l="1" a="1"/>
  <c r="S65" i="13" s="1"/>
  <c r="X65" i="13" s="1"/>
  <c r="D48" i="13" a="1"/>
  <c r="R60" i="13"/>
  <c r="W60" i="13" s="1"/>
  <c r="S57" i="13"/>
  <c r="X57" i="13" s="1"/>
  <c r="T54" i="13"/>
  <c r="Y54" i="13" s="1"/>
  <c r="R64" i="13"/>
  <c r="W64" i="13" s="1"/>
  <c r="S61" i="13"/>
  <c r="X61" i="13" s="1"/>
  <c r="T58" i="13"/>
  <c r="Y58" i="13" s="1"/>
  <c r="R56" i="13"/>
  <c r="W56" i="13" s="1"/>
  <c r="R61" i="13"/>
  <c r="W61" i="13" s="1"/>
  <c r="T57" i="13"/>
  <c r="Y57" i="13" s="1"/>
  <c r="R54" i="13"/>
  <c r="W54" i="13" s="1"/>
  <c r="S64" i="13"/>
  <c r="X64" i="13" s="1"/>
  <c r="T60" i="13"/>
  <c r="Y60" i="13" s="1"/>
  <c r="R57" i="13"/>
  <c r="W57" i="13" s="1"/>
  <c r="T63" i="13"/>
  <c r="Y63" i="13" s="1"/>
  <c r="T56" i="13"/>
  <c r="Y56" i="13" s="1"/>
  <c r="S63" i="13"/>
  <c r="X63" i="13" s="1"/>
  <c r="T59" i="13"/>
  <c r="Y59" i="13" s="1"/>
  <c r="S56" i="13"/>
  <c r="X56" i="13" s="1"/>
  <c r="R63" i="13"/>
  <c r="W63" i="13" s="1"/>
  <c r="S59" i="13"/>
  <c r="X59" i="13" s="1"/>
  <c r="T55" i="13"/>
  <c r="Y55" i="13" s="1"/>
  <c r="R59" i="13"/>
  <c r="W59" i="13" s="1"/>
  <c r="S55" i="13"/>
  <c r="X55" i="13" s="1"/>
  <c r="T65" i="13"/>
  <c r="Y65" i="13" s="1"/>
  <c r="R62" i="13"/>
  <c r="W62" i="13" s="1"/>
  <c r="S58" i="13"/>
  <c r="X58" i="13" s="1"/>
  <c r="R55" i="13"/>
  <c r="W55" i="13" s="1"/>
  <c r="R65" i="13"/>
  <c r="W65" i="13" s="1"/>
  <c r="R58" i="13"/>
  <c r="W58" i="13" s="1"/>
  <c r="S54" i="13"/>
  <c r="X54" i="13" s="1"/>
  <c r="T61" i="13" l="1"/>
  <c r="Y61" i="13" s="1"/>
  <c r="S62" i="13"/>
  <c r="X62" i="13" s="1"/>
  <c r="S60" i="13"/>
  <c r="X60" i="13" s="1"/>
  <c r="T64" i="13"/>
  <c r="Y64" i="13" s="1"/>
  <c r="T62" i="13"/>
  <c r="Y62" i="13" s="1"/>
  <c r="Q67" i="13" s="1" a="1"/>
  <c r="D48" i="13"/>
  <c r="E49" i="13"/>
  <c r="D49" i="13"/>
  <c r="E48" i="13"/>
  <c r="K48" i="13" l="1" a="1"/>
  <c r="Z70" i="13"/>
  <c r="R70" i="13"/>
  <c r="V69" i="13"/>
  <c r="Z68" i="13"/>
  <c r="R68" i="13"/>
  <c r="V67" i="13"/>
  <c r="V70" i="13"/>
  <c r="Z69" i="13"/>
  <c r="R69" i="13"/>
  <c r="V68" i="13"/>
  <c r="Z67" i="13"/>
  <c r="R67" i="13"/>
  <c r="X70" i="13"/>
  <c r="Y69" i="13"/>
  <c r="AA68" i="13"/>
  <c r="AB67" i="13"/>
  <c r="Q67" i="13"/>
  <c r="W70" i="13"/>
  <c r="X69" i="13"/>
  <c r="Y68" i="13"/>
  <c r="AA67" i="13"/>
  <c r="U70" i="13"/>
  <c r="W69" i="13"/>
  <c r="X68" i="13"/>
  <c r="Y67" i="13"/>
  <c r="T70" i="13"/>
  <c r="U69" i="13"/>
  <c r="W68" i="13"/>
  <c r="X67" i="13"/>
  <c r="S70" i="13"/>
  <c r="T69" i="13"/>
  <c r="U68" i="13"/>
  <c r="W67" i="13"/>
  <c r="AB70" i="13"/>
  <c r="Q70" i="13"/>
  <c r="S69" i="13"/>
  <c r="T68" i="13"/>
  <c r="U67" i="13"/>
  <c r="AA70" i="13"/>
  <c r="AB69" i="13"/>
  <c r="Q69" i="13"/>
  <c r="S68" i="13"/>
  <c r="T67" i="13"/>
  <c r="Y70" i="13"/>
  <c r="AA69" i="13"/>
  <c r="AB68" i="13"/>
  <c r="Q68" i="13"/>
  <c r="S67" i="13"/>
  <c r="K49" i="13" l="1"/>
  <c r="K48" i="13"/>
  <c r="K2" i="13" a="1"/>
  <c r="Q73" i="13" a="1"/>
  <c r="K2" i="13" l="1"/>
  <c r="C4" i="13" s="1"/>
  <c r="K4" i="13"/>
  <c r="E4" i="13" s="1"/>
  <c r="K3" i="13"/>
  <c r="D4" i="13" s="1"/>
  <c r="Q73" i="13"/>
  <c r="Q75" i="13"/>
  <c r="Q74" i="13"/>
  <c r="B4" i="13" l="1"/>
  <c r="G7" i="13" a="1"/>
  <c r="Q78" i="13"/>
  <c r="R74" i="13" s="1"/>
  <c r="A8" i="13" l="1"/>
  <c r="A16" i="13"/>
  <c r="A9" i="13"/>
  <c r="A17" i="13"/>
  <c r="A10" i="13"/>
  <c r="A18" i="13"/>
  <c r="A11" i="13"/>
  <c r="A15" i="13"/>
  <c r="A12" i="13"/>
  <c r="A13" i="13"/>
  <c r="A14" i="13"/>
  <c r="A7" i="13"/>
  <c r="G7" i="13"/>
  <c r="G14" i="13"/>
  <c r="G16" i="13"/>
  <c r="G13" i="13"/>
  <c r="G8" i="13"/>
  <c r="G15" i="13"/>
  <c r="G12" i="13"/>
  <c r="G11" i="13"/>
  <c r="G18" i="13"/>
  <c r="G10" i="13"/>
  <c r="G17" i="13"/>
  <c r="G9" i="13"/>
  <c r="R73" i="13"/>
  <c r="R75" i="13"/>
  <c r="B22" i="13" l="1"/>
  <c r="H22" i="13"/>
  <c r="S73" i="13" a="1"/>
  <c r="S80" i="13" s="1"/>
  <c r="S79" i="13" l="1"/>
  <c r="S82" i="13"/>
  <c r="S74" i="13"/>
  <c r="S83" i="13"/>
  <c r="S77" i="13"/>
  <c r="S81" i="13"/>
  <c r="S73" i="13"/>
  <c r="S75" i="13"/>
  <c r="W73" i="13" s="1" a="1"/>
  <c r="W73" i="13" s="1"/>
  <c r="S76" i="13"/>
  <c r="S84" i="13"/>
  <c r="S78" i="13"/>
  <c r="T78" i="13" l="1"/>
  <c r="X73" i="13" s="1"/>
  <c r="Q87" i="13" s="1" a="1"/>
  <c r="Q95" i="13" s="1"/>
  <c r="V95" i="13" s="1"/>
  <c r="T73" i="13" a="1"/>
  <c r="T75" i="13" s="1"/>
  <c r="V75" i="13" s="1"/>
  <c r="T73" i="13" l="1"/>
  <c r="V73" i="13" s="1"/>
  <c r="T74" i="13"/>
  <c r="V74" i="13" s="1"/>
  <c r="Q96" i="13"/>
  <c r="V96" i="13" s="1"/>
  <c r="Q97" i="13"/>
  <c r="V97" i="13" s="1"/>
  <c r="Q94" i="13"/>
  <c r="V94" i="13" s="1"/>
  <c r="Q90" i="13"/>
  <c r="V90" i="13" s="1"/>
  <c r="Q88" i="13"/>
  <c r="V88" i="13" s="1"/>
  <c r="Q89" i="13"/>
  <c r="V89" i="13" s="1"/>
  <c r="Q98" i="13"/>
  <c r="V98" i="13" s="1"/>
  <c r="Q91" i="13"/>
  <c r="V91" i="13" s="1"/>
  <c r="Q92" i="13"/>
  <c r="V92" i="13" s="1"/>
  <c r="Q87" i="13"/>
  <c r="V87" i="13" s="1"/>
  <c r="Q93" i="13"/>
  <c r="V93" i="13" s="1"/>
  <c r="W77" i="13" l="1" a="1"/>
  <c r="X77" i="13" s="1"/>
  <c r="W77" i="13" l="1"/>
  <c r="Y77" i="13"/>
  <c r="R87" i="13" l="1" a="1"/>
  <c r="R96" i="13" l="1"/>
  <c r="W96" i="13" s="1"/>
  <c r="R93" i="13"/>
  <c r="W93" i="13" s="1"/>
  <c r="T88" i="13"/>
  <c r="Y88" i="13" s="1"/>
  <c r="T87" i="13"/>
  <c r="Y87" i="13" s="1"/>
  <c r="S93" i="13"/>
  <c r="X93" i="13" s="1"/>
  <c r="R97" i="13"/>
  <c r="W97" i="13" s="1"/>
  <c r="S97" i="13"/>
  <c r="X97" i="13" s="1"/>
  <c r="T96" i="13"/>
  <c r="Y96" i="13" s="1"/>
  <c r="S92" i="13"/>
  <c r="X92" i="13" s="1"/>
  <c r="R94" i="13"/>
  <c r="W94" i="13" s="1"/>
  <c r="S87" i="13"/>
  <c r="X87" i="13" s="1"/>
  <c r="S91" i="13"/>
  <c r="X91" i="13" s="1"/>
  <c r="R91" i="13"/>
  <c r="W91" i="13" s="1"/>
  <c r="S98" i="13"/>
  <c r="X98" i="13" s="1"/>
  <c r="R88" i="13"/>
  <c r="W88" i="13" s="1"/>
  <c r="R90" i="13"/>
  <c r="W90" i="13" s="1"/>
  <c r="R95" i="13"/>
  <c r="W95" i="13" s="1"/>
  <c r="R89" i="13"/>
  <c r="W89" i="13" s="1"/>
  <c r="S90" i="13"/>
  <c r="X90" i="13" s="1"/>
  <c r="T91" i="13"/>
  <c r="Y91" i="13" s="1"/>
  <c r="S89" i="13"/>
  <c r="X89" i="13" s="1"/>
  <c r="T97" i="13"/>
  <c r="Y97" i="13" s="1"/>
  <c r="T90" i="13"/>
  <c r="Y90" i="13" s="1"/>
  <c r="T92" i="13"/>
  <c r="Y92" i="13" s="1"/>
  <c r="T98" i="13"/>
  <c r="Y98" i="13" s="1"/>
  <c r="T89" i="13"/>
  <c r="Y89" i="13" s="1"/>
  <c r="T94" i="13"/>
  <c r="Y94" i="13" s="1"/>
  <c r="S96" i="13"/>
  <c r="X96" i="13" s="1"/>
  <c r="S94" i="13"/>
  <c r="X94" i="13" s="1"/>
  <c r="R92" i="13"/>
  <c r="W92" i="13" s="1"/>
  <c r="S88" i="13"/>
  <c r="X88" i="13" s="1"/>
  <c r="T95" i="13"/>
  <c r="Y95" i="13" s="1"/>
  <c r="S95" i="13"/>
  <c r="X95" i="13" s="1"/>
  <c r="R98" i="13"/>
  <c r="W98" i="13" s="1"/>
  <c r="R87" i="13"/>
  <c r="W87" i="13" s="1"/>
  <c r="T93" i="13"/>
  <c r="Y93" i="13" s="1"/>
</calcChain>
</file>

<file path=xl/sharedStrings.xml><?xml version="1.0" encoding="utf-8"?>
<sst xmlns="http://schemas.openxmlformats.org/spreadsheetml/2006/main" count="1469" uniqueCount="562">
  <si>
    <t>표준화전 데이터</t>
    <phoneticPr fontId="1" type="noConversion"/>
  </si>
  <si>
    <t>표준화후 데이터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</si>
  <si>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</si>
  <si>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</si>
  <si>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</si>
  <si>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김선빈</t>
    <phoneticPr fontId="1" type="noConversion"/>
  </si>
  <si>
    <t>박건우</t>
    <phoneticPr fontId="1" type="noConversion"/>
  </si>
  <si>
    <t>순위</t>
  </si>
  <si>
    <t>선수</t>
    <phoneticPr fontId="1" type="noConversion"/>
  </si>
  <si>
    <t>키</t>
    <phoneticPr fontId="1" type="noConversion"/>
  </si>
  <si>
    <t>몸무게</t>
    <phoneticPr fontId="1" type="noConversion"/>
  </si>
  <si>
    <t>안타</t>
  </si>
  <si>
    <t>2타</t>
  </si>
  <si>
    <t>3타</t>
  </si>
  <si>
    <t>홈런</t>
  </si>
  <si>
    <t>타점</t>
  </si>
  <si>
    <t>득점</t>
  </si>
  <si>
    <t>도루</t>
  </si>
  <si>
    <t>사사구</t>
  </si>
  <si>
    <t>삼진</t>
  </si>
  <si>
    <t>타율</t>
  </si>
  <si>
    <t>출루율</t>
  </si>
  <si>
    <t>장타율</t>
  </si>
  <si>
    <t>OPS</t>
  </si>
  <si>
    <t>박민우</t>
    <phoneticPr fontId="1" type="noConversion"/>
  </si>
  <si>
    <t>김선빈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</si>
  <si>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</si>
  <si>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</si>
  <si>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</si>
  <si>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</si>
  <si>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</si>
  <si>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</si>
  <si>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</si>
  <si>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</si>
  <si>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</si>
  <si>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</si>
  <si>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</si>
  <si>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</si>
  <si>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</si>
  <si>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</si>
  <si>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</si>
  <si>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</si>
  <si>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</si>
  <si>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</si>
  <si>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표준편차</t>
    <phoneticPr fontId="1" type="noConversion"/>
  </si>
  <si>
    <t>1시그마</t>
    <phoneticPr fontId="1" type="noConversion"/>
  </si>
  <si>
    <t>2시그마</t>
    <phoneticPr fontId="1" type="noConversion"/>
  </si>
  <si>
    <t>3시그마</t>
    <phoneticPr fontId="1" type="noConversion"/>
  </si>
  <si>
    <t>김선빈</t>
  </si>
  <si>
    <t>박건우</t>
  </si>
  <si>
    <t>박민우</t>
  </si>
  <si>
    <t>나성범</t>
  </si>
  <si>
    <t>박용택</t>
  </si>
  <si>
    <t>최형우</t>
  </si>
  <si>
    <t>김재환</t>
  </si>
  <si>
    <t>로사리오</t>
  </si>
  <si>
    <t>손아섭</t>
  </si>
  <si>
    <t>서건창</t>
  </si>
  <si>
    <t>이명기</t>
  </si>
  <si>
    <t>송광민</t>
  </si>
  <si>
    <t>이정후</t>
  </si>
  <si>
    <t>전준우</t>
  </si>
  <si>
    <t>이대호</t>
  </si>
  <si>
    <t>버나디나</t>
  </si>
  <si>
    <t>최정</t>
  </si>
  <si>
    <t>안치홍</t>
  </si>
  <si>
    <t>러프</t>
  </si>
  <si>
    <t>윤석민</t>
  </si>
  <si>
    <t>모창민</t>
  </si>
  <si>
    <t>고종욱</t>
  </si>
  <si>
    <t>구자욱</t>
  </si>
  <si>
    <t>김주찬</t>
  </si>
  <si>
    <t>오재일</t>
  </si>
  <si>
    <t>유한준</t>
  </si>
  <si>
    <t>민병헌</t>
  </si>
  <si>
    <t>강한울</t>
  </si>
  <si>
    <t>번즈</t>
  </si>
  <si>
    <t>김하성</t>
  </si>
  <si>
    <t>최주환</t>
  </si>
  <si>
    <t>나지완</t>
  </si>
  <si>
    <t>스크럭스</t>
  </si>
  <si>
    <t>에반스</t>
  </si>
  <si>
    <t>김문호</t>
  </si>
  <si>
    <t>나주환</t>
  </si>
  <si>
    <t>최준석</t>
  </si>
  <si>
    <t>권희동</t>
  </si>
  <si>
    <t>강민호</t>
  </si>
  <si>
    <t>하주석</t>
  </si>
  <si>
    <t>중앙값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</si>
  <si>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</si>
  <si>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</si>
  <si>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</si>
  <si>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</si>
  <si>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</si>
  <si>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</si>
  <si>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</si>
  <si>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표준화</t>
    <phoneticPr fontId="1" type="noConversion"/>
  </si>
  <si>
    <t>몸무게 표준화</t>
    <phoneticPr fontId="1" type="noConversion"/>
  </si>
  <si>
    <t>표준화 데이터간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</si>
  <si>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</si>
  <si>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</si>
  <si>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</si>
  <si>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</si>
  <si>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</si>
  <si>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</si>
  <si>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</si>
  <si>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김재환</t>
    <phoneticPr fontId="1" type="noConversion"/>
  </si>
  <si>
    <t>로사리오</t>
    <phoneticPr fontId="1" type="noConversion"/>
  </si>
  <si>
    <t>로사리오</t>
    <phoneticPr fontId="1" type="noConversion"/>
  </si>
  <si>
    <t>손아섭</t>
    <phoneticPr fontId="1" type="noConversion"/>
  </si>
  <si>
    <t>손아섭</t>
    <phoneticPr fontId="1" type="noConversion"/>
  </si>
  <si>
    <t>서건창</t>
    <phoneticPr fontId="1" type="noConversion"/>
  </si>
  <si>
    <t>서건창</t>
    <phoneticPr fontId="1" type="noConversion"/>
  </si>
  <si>
    <t>이명기</t>
    <phoneticPr fontId="1" type="noConversion"/>
  </si>
  <si>
    <t>이명기</t>
    <phoneticPr fontId="1" type="noConversion"/>
  </si>
  <si>
    <t>송광민</t>
    <phoneticPr fontId="1" type="noConversion"/>
  </si>
  <si>
    <t>송광민</t>
    <phoneticPr fontId="1" type="noConversion"/>
  </si>
  <si>
    <t>이정후</t>
    <phoneticPr fontId="1" type="noConversion"/>
  </si>
  <si>
    <t>이정후</t>
    <phoneticPr fontId="1" type="noConversion"/>
  </si>
  <si>
    <t>전준우</t>
    <phoneticPr fontId="1" type="noConversion"/>
  </si>
  <si>
    <t>전준우</t>
    <phoneticPr fontId="1" type="noConversion"/>
  </si>
  <si>
    <t>이대호</t>
    <phoneticPr fontId="1" type="noConversion"/>
  </si>
  <si>
    <t>이대호</t>
    <phoneticPr fontId="1" type="noConversion"/>
  </si>
  <si>
    <t>버나디나</t>
    <phoneticPr fontId="1" type="noConversion"/>
  </si>
  <si>
    <t>버나디나</t>
    <phoneticPr fontId="1" type="noConversion"/>
  </si>
  <si>
    <t>최정</t>
    <phoneticPr fontId="1" type="noConversion"/>
  </si>
  <si>
    <t>최정</t>
    <phoneticPr fontId="1" type="noConversion"/>
  </si>
  <si>
    <t>안치홍</t>
    <phoneticPr fontId="1" type="noConversion"/>
  </si>
  <si>
    <t>안치홍</t>
    <phoneticPr fontId="1" type="noConversion"/>
  </si>
  <si>
    <t>러프</t>
    <phoneticPr fontId="1" type="noConversion"/>
  </si>
  <si>
    <t>러프</t>
    <phoneticPr fontId="1" type="noConversion"/>
  </si>
  <si>
    <t>윤석민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</si>
  <si>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</si>
  <si>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</si>
  <si>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</si>
  <si>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표준편차</t>
    <phoneticPr fontId="1" type="noConversion"/>
  </si>
  <si>
    <t>상관계수</t>
    <phoneticPr fontId="1" type="noConversion"/>
  </si>
  <si>
    <t>상관계수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</si>
  <si>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</si>
  <si>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</si>
  <si>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</si>
  <si>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</si>
  <si>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</si>
  <si>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</si>
  <si>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박용택</t>
    <phoneticPr fontId="1" type="noConversion"/>
  </si>
  <si>
    <t>최형우</t>
    <phoneticPr fontId="1" type="noConversion"/>
  </si>
  <si>
    <t>손아섭</t>
    <phoneticPr fontId="1" type="noConversion"/>
  </si>
  <si>
    <t>서건창</t>
    <phoneticPr fontId="1" type="noConversion"/>
  </si>
  <si>
    <t>이정후</t>
    <phoneticPr fontId="1" type="noConversion"/>
  </si>
  <si>
    <t>러프</t>
    <phoneticPr fontId="1" type="noConversion"/>
  </si>
  <si>
    <t>윤석민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</si>
  <si>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</si>
  <si>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</si>
  <si>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</si>
  <si>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편차</t>
    <phoneticPr fontId="1" type="noConversion"/>
  </si>
  <si>
    <t>몸무게 편차</t>
    <phoneticPr fontId="1" type="noConversion"/>
  </si>
  <si>
    <t>편차간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</si>
  <si>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</si>
  <si>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</si>
  <si>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</si>
  <si>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</si>
  <si>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</si>
  <si>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</si>
  <si>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</si>
  <si>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</si>
  <si>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</si>
  <si>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</si>
  <si>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</si>
  <si>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</si>
  <si>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</si>
  <si>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</si>
  <si>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</si>
  <si>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</si>
  <si>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</si>
  <si>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</si>
  <si>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</si>
  <si>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</si>
  <si>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</si>
  <si>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</si>
  <si>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공분산</t>
    <phoneticPr fontId="1" type="noConversion"/>
  </si>
  <si>
    <t>COVARIANCE.S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</si>
  <si>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</si>
  <si>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</si>
  <si>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</si>
  <si>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</si>
  <si>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</si>
  <si>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</si>
  <si>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박건우</t>
    <phoneticPr fontId="1" type="noConversion"/>
  </si>
  <si>
    <t>송광민</t>
    <phoneticPr fontId="1" type="noConversion"/>
  </si>
  <si>
    <t>이대호</t>
    <phoneticPr fontId="1" type="noConversion"/>
  </si>
  <si>
    <t>공분산</t>
    <phoneticPr fontId="1" type="noConversion"/>
  </si>
  <si>
    <t>2루타</t>
  </si>
  <si>
    <t>3루타</t>
  </si>
  <si>
    <t>PC1</t>
  </si>
  <si>
    <t>PC2</t>
  </si>
  <si>
    <t>PC3</t>
  </si>
  <si>
    <t>평균</t>
    <phoneticPr fontId="1" type="noConversion"/>
  </si>
  <si>
    <t>상관행렬</t>
    <phoneticPr fontId="1" type="noConversion"/>
  </si>
  <si>
    <t>고유값</t>
    <phoneticPr fontId="1" type="noConversion"/>
  </si>
  <si>
    <t>고유값</t>
  </si>
  <si>
    <t>기준 데이터</t>
    <phoneticPr fontId="1" type="noConversion"/>
  </si>
  <si>
    <t>표준화 데이터</t>
    <phoneticPr fontId="1" type="noConversion"/>
  </si>
  <si>
    <t>상관행렬</t>
    <phoneticPr fontId="1" type="noConversion"/>
  </si>
  <si>
    <t>좌표 변환</t>
    <phoneticPr fontId="1" type="noConversion"/>
  </si>
  <si>
    <t>MD 계산</t>
    <phoneticPr fontId="1" type="noConversion"/>
  </si>
  <si>
    <t>MD값의 통계값</t>
    <phoneticPr fontId="1" type="noConversion"/>
  </si>
  <si>
    <t>기온</t>
    <phoneticPr fontId="1" type="noConversion"/>
  </si>
  <si>
    <t>습도</t>
  </si>
  <si>
    <t>MD</t>
    <phoneticPr fontId="1" type="noConversion"/>
  </si>
  <si>
    <t>MAX</t>
    <phoneticPr fontId="1" type="noConversion"/>
  </si>
  <si>
    <t>2001년</t>
  </si>
  <si>
    <t>평균</t>
    <phoneticPr fontId="1" type="noConversion"/>
  </si>
  <si>
    <t>2017년6월</t>
    <phoneticPr fontId="1" type="noConversion"/>
  </si>
  <si>
    <t>비정상</t>
    <phoneticPr fontId="1" type="noConversion"/>
  </si>
  <si>
    <t>2002년</t>
  </si>
  <si>
    <t>표준편차</t>
    <phoneticPr fontId="1" type="noConversion"/>
  </si>
  <si>
    <t>2017년7월</t>
    <phoneticPr fontId="1" type="noConversion"/>
  </si>
  <si>
    <t>2003년</t>
  </si>
  <si>
    <t>2017년8월</t>
    <phoneticPr fontId="1" type="noConversion"/>
  </si>
  <si>
    <t>정상</t>
    <phoneticPr fontId="1" type="noConversion"/>
  </si>
  <si>
    <t>2004년</t>
  </si>
  <si>
    <t>2017년9월</t>
    <phoneticPr fontId="1" type="noConversion"/>
  </si>
  <si>
    <t>2005년</t>
  </si>
  <si>
    <t>2006년</t>
  </si>
  <si>
    <t>기온</t>
  </si>
  <si>
    <t>2007년</t>
  </si>
  <si>
    <t>2008년</t>
  </si>
  <si>
    <t>2009년</t>
  </si>
  <si>
    <t>2010년</t>
  </si>
  <si>
    <t>2011년</t>
  </si>
  <si>
    <t>2012년</t>
  </si>
  <si>
    <t>2013년</t>
  </si>
  <si>
    <t>표준화된 고유벡터</t>
    <phoneticPr fontId="1" type="noConversion"/>
  </si>
  <si>
    <t>2015년</t>
  </si>
  <si>
    <t>2016년</t>
  </si>
  <si>
    <t>판단</t>
    <phoneticPr fontId="1" type="noConversion"/>
  </si>
  <si>
    <t>6월</t>
  </si>
  <si>
    <t>7월</t>
  </si>
  <si>
    <t>8월</t>
  </si>
  <si>
    <t>9월</t>
  </si>
  <si>
    <t>표준화 데이터(Z)</t>
    <phoneticPr fontId="1" type="noConversion"/>
  </si>
  <si>
    <t>상관행렬(R)</t>
    <phoneticPr fontId="1" type="noConversion"/>
  </si>
  <si>
    <t>ZR-1</t>
    <phoneticPr fontId="1" type="noConversion"/>
  </si>
  <si>
    <t>ZR-1Z'</t>
    <phoneticPr fontId="1" type="noConversion"/>
  </si>
  <si>
    <t>표준편차</t>
    <phoneticPr fontId="1" type="noConversion"/>
  </si>
  <si>
    <t>가게 면적 (x)</t>
    <phoneticPr fontId="1" type="noConversion"/>
  </si>
  <si>
    <t>(예측-실제값)의 제곱</t>
    <phoneticPr fontId="1" type="noConversion"/>
  </si>
  <si>
    <t>평균</t>
    <phoneticPr fontId="1" type="noConversion"/>
  </si>
  <si>
    <t>분산</t>
    <phoneticPr fontId="1" type="noConversion"/>
  </si>
  <si>
    <t>공분산</t>
    <phoneticPr fontId="1" type="noConversion"/>
  </si>
  <si>
    <t>기울기 (a)</t>
    <phoneticPr fontId="1" type="noConversion"/>
  </si>
  <si>
    <t>y절편  (b)</t>
    <phoneticPr fontId="1" type="noConversion"/>
  </si>
  <si>
    <t>결정계수(R2)</t>
    <phoneticPr fontId="1" type="noConversion"/>
  </si>
  <si>
    <t>a0</t>
    <phoneticPr fontId="1" type="noConversion"/>
  </si>
  <si>
    <t>a1</t>
  </si>
  <si>
    <t>a2</t>
  </si>
  <si>
    <t>a3</t>
  </si>
  <si>
    <t>Y 예측</t>
    <phoneticPr fontId="1" type="noConversion"/>
  </si>
  <si>
    <t>Y</t>
    <phoneticPr fontId="1" type="noConversion"/>
  </si>
  <si>
    <t>X</t>
    <phoneticPr fontId="1" type="noConversion"/>
  </si>
  <si>
    <t>X'</t>
    <phoneticPr fontId="1" type="noConversion"/>
  </si>
  <si>
    <t>상수</t>
    <phoneticPr fontId="1" type="noConversion"/>
  </si>
  <si>
    <t>가게 면적</t>
    <phoneticPr fontId="1" type="noConversion"/>
  </si>
  <si>
    <t>지하철역과의 거리</t>
  </si>
  <si>
    <t>X'X</t>
    <phoneticPr fontId="1" type="noConversion"/>
  </si>
  <si>
    <t>(X'X)-1</t>
    <phoneticPr fontId="1" type="noConversion"/>
  </si>
  <si>
    <t>X'Y</t>
    <phoneticPr fontId="1" type="noConversion"/>
  </si>
  <si>
    <t>(X'X)-1X'Y</t>
    <phoneticPr fontId="1" type="noConversion"/>
  </si>
  <si>
    <t>a0</t>
    <phoneticPr fontId="1" type="noConversion"/>
  </si>
  <si>
    <t>상관계수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</si>
  <si>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</si>
  <si>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</si>
  <si>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</si>
  <si>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표준화 회귀계수</t>
    <phoneticPr fontId="1" type="noConversion"/>
  </si>
  <si>
    <t>상관행렬</t>
    <phoneticPr fontId="1" type="noConversion"/>
  </si>
  <si>
    <t>Y 예측</t>
    <phoneticPr fontId="1" type="noConversion"/>
  </si>
  <si>
    <t>Y 예측</t>
    <phoneticPr fontId="1" type="noConversion"/>
  </si>
  <si>
    <t>Y</t>
    <phoneticPr fontId="1" type="noConversion"/>
  </si>
  <si>
    <t>Y</t>
    <phoneticPr fontId="1" type="noConversion"/>
  </si>
  <si>
    <t>X</t>
    <phoneticPr fontId="1" type="noConversion"/>
  </si>
  <si>
    <t>표준화</t>
    <phoneticPr fontId="1" type="noConversion"/>
  </si>
  <si>
    <t>표준화</t>
    <phoneticPr fontId="1" type="noConversion"/>
  </si>
  <si>
    <t>Za1</t>
    <phoneticPr fontId="1" type="noConversion"/>
  </si>
  <si>
    <t>가게 면적</t>
    <phoneticPr fontId="1" type="noConversion"/>
  </si>
  <si>
    <t>Za2</t>
    <phoneticPr fontId="1" type="noConversion"/>
  </si>
  <si>
    <t>Za3</t>
    <phoneticPr fontId="1" type="noConversion"/>
  </si>
  <si>
    <t>기여율</t>
    <phoneticPr fontId="1" type="noConversion"/>
  </si>
  <si>
    <t>누적기여율</t>
    <phoneticPr fontId="1" type="noConversion"/>
  </si>
  <si>
    <t>고유벡터</t>
    <phoneticPr fontId="1" type="noConversion"/>
  </si>
  <si>
    <t>변환좌표</t>
    <phoneticPr fontId="1" type="noConversion"/>
  </si>
  <si>
    <t>P'</t>
    <phoneticPr fontId="1" type="noConversion"/>
  </si>
  <si>
    <t>P'P</t>
    <phoneticPr fontId="1" type="noConversion"/>
  </si>
  <si>
    <t>(P'P)-1</t>
    <phoneticPr fontId="1" type="noConversion"/>
  </si>
  <si>
    <t>P'Y</t>
    <phoneticPr fontId="1" type="noConversion"/>
  </si>
  <si>
    <t>(P'P)-1P'Y</t>
    <phoneticPr fontId="1" type="noConversion"/>
  </si>
  <si>
    <t>b1</t>
    <phoneticPr fontId="1" type="noConversion"/>
  </si>
  <si>
    <t>b2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</si>
  <si>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</si>
  <si>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</si>
  <si>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</si>
  <si>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</si>
  <si>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누적기여율</t>
    <phoneticPr fontId="1" type="noConversion"/>
  </si>
  <si>
    <t>고유벡터</t>
    <phoneticPr fontId="1" type="noConversion"/>
  </si>
  <si>
    <t>가게 면적</t>
    <phoneticPr fontId="1" type="noConversion"/>
  </si>
  <si>
    <t>변환좌표</t>
    <phoneticPr fontId="1" type="noConversion"/>
  </si>
  <si>
    <t>b3</t>
  </si>
  <si>
    <t>표준화 회귀계수</t>
    <phoneticPr fontId="1" type="noConversion"/>
  </si>
  <si>
    <t>가게 면적</t>
  </si>
  <si>
    <t>a0</t>
    <phoneticPr fontId="1" type="noConversion"/>
  </si>
  <si>
    <t>Y 예측</t>
    <phoneticPr fontId="1" type="noConversion"/>
  </si>
  <si>
    <t>Y</t>
    <phoneticPr fontId="1" type="noConversion"/>
  </si>
  <si>
    <t>표준화</t>
    <phoneticPr fontId="1" type="noConversion"/>
  </si>
  <si>
    <t>가게 면적</t>
    <phoneticPr fontId="1" type="noConversion"/>
  </si>
  <si>
    <t>X'Y</t>
  </si>
  <si>
    <t>W1</t>
    <phoneticPr fontId="1" type="noConversion"/>
  </si>
  <si>
    <t>t1</t>
    <phoneticPr fontId="1" type="noConversion"/>
  </si>
  <si>
    <t>X't1</t>
    <phoneticPr fontId="1" type="noConversion"/>
  </si>
  <si>
    <t>p1</t>
    <phoneticPr fontId="1" type="noConversion"/>
  </si>
  <si>
    <t>Y't1</t>
    <phoneticPr fontId="1" type="noConversion"/>
  </si>
  <si>
    <t>q1</t>
    <phoneticPr fontId="1" type="noConversion"/>
  </si>
  <si>
    <t>||X'Y||</t>
  </si>
  <si>
    <t>t1't1</t>
    <phoneticPr fontId="1" type="noConversion"/>
  </si>
  <si>
    <t>p1'</t>
    <phoneticPr fontId="1" type="noConversion"/>
  </si>
  <si>
    <t>평균</t>
    <phoneticPr fontId="1" type="noConversion"/>
  </si>
  <si>
    <t>표준편차</t>
    <phoneticPr fontId="1" type="noConversion"/>
  </si>
  <si>
    <t>t1q1'</t>
    <phoneticPr fontId="1" type="noConversion"/>
  </si>
  <si>
    <t>t1p1'</t>
    <phoneticPr fontId="1" type="noConversion"/>
  </si>
  <si>
    <t>Ey1</t>
    <phoneticPr fontId="1" type="noConversion"/>
  </si>
  <si>
    <t>Ex1</t>
    <phoneticPr fontId="1" type="noConversion"/>
  </si>
  <si>
    <t>상관계수</t>
    <phoneticPr fontId="1" type="noConversion"/>
  </si>
  <si>
    <t>W1</t>
    <phoneticPr fontId="1" type="noConversion"/>
  </si>
  <si>
    <t>W2</t>
    <phoneticPr fontId="1" type="noConversion"/>
  </si>
  <si>
    <t>W3</t>
    <phoneticPr fontId="1" type="noConversion"/>
  </si>
  <si>
    <t>t1</t>
    <phoneticPr fontId="1" type="noConversion"/>
  </si>
  <si>
    <t>t2</t>
  </si>
  <si>
    <t>t3</t>
  </si>
  <si>
    <t>(Ey1)'</t>
    <phoneticPr fontId="1" type="noConversion"/>
  </si>
  <si>
    <t>(Ex1)'</t>
    <phoneticPr fontId="1" type="noConversion"/>
  </si>
  <si>
    <t>W2</t>
    <phoneticPr fontId="1" type="noConversion"/>
  </si>
  <si>
    <t>t2</t>
    <phoneticPr fontId="1" type="noConversion"/>
  </si>
  <si>
    <t>X't2</t>
    <phoneticPr fontId="1" type="noConversion"/>
  </si>
  <si>
    <t>p2</t>
    <phoneticPr fontId="1" type="noConversion"/>
  </si>
  <si>
    <t>y't2</t>
    <phoneticPr fontId="1" type="noConversion"/>
  </si>
  <si>
    <t>q2</t>
    <phoneticPr fontId="1" type="noConversion"/>
  </si>
  <si>
    <t>T'</t>
    <phoneticPr fontId="1" type="noConversion"/>
  </si>
  <si>
    <t>t1</t>
  </si>
  <si>
    <t>t2't2</t>
    <phoneticPr fontId="1" type="noConversion"/>
  </si>
  <si>
    <t>p2'</t>
    <phoneticPr fontId="1" type="noConversion"/>
  </si>
  <si>
    <t>T'T</t>
    <phoneticPr fontId="1" type="noConversion"/>
  </si>
  <si>
    <t>(T'T)-1</t>
    <phoneticPr fontId="1" type="noConversion"/>
  </si>
  <si>
    <t>T'Y</t>
    <phoneticPr fontId="1" type="noConversion"/>
  </si>
  <si>
    <t>(T'T)-1T'Y</t>
    <phoneticPr fontId="1" type="noConversion"/>
  </si>
  <si>
    <t>B1</t>
    <phoneticPr fontId="1" type="noConversion"/>
  </si>
  <si>
    <t>B2</t>
  </si>
  <si>
    <t>t2q2'</t>
    <phoneticPr fontId="1" type="noConversion"/>
  </si>
  <si>
    <t>t2p2'</t>
    <phoneticPr fontId="1" type="noConversion"/>
  </si>
  <si>
    <t>Ey2</t>
    <phoneticPr fontId="1" type="noConversion"/>
  </si>
  <si>
    <t>Ex2</t>
    <phoneticPr fontId="1" type="noConversion"/>
  </si>
  <si>
    <t>(Ey2)'</t>
    <phoneticPr fontId="1" type="noConversion"/>
  </si>
  <si>
    <t>(Ex2)'</t>
    <phoneticPr fontId="1" type="noConversion"/>
  </si>
  <si>
    <t>t3</t>
    <phoneticPr fontId="1" type="noConversion"/>
  </si>
  <si>
    <t>X't3</t>
    <phoneticPr fontId="1" type="noConversion"/>
  </si>
  <si>
    <t>p3</t>
    <phoneticPr fontId="1" type="noConversion"/>
  </si>
  <si>
    <t>y't3</t>
    <phoneticPr fontId="1" type="noConversion"/>
  </si>
  <si>
    <t>q3</t>
    <phoneticPr fontId="1" type="noConversion"/>
  </si>
  <si>
    <t>t3't3</t>
    <phoneticPr fontId="1" type="noConversion"/>
  </si>
  <si>
    <t>p3'</t>
    <phoneticPr fontId="1" type="noConversion"/>
  </si>
  <si>
    <t>t3q3'</t>
    <phoneticPr fontId="1" type="noConversion"/>
  </si>
  <si>
    <t>t3p3'</t>
    <phoneticPr fontId="1" type="noConversion"/>
  </si>
  <si>
    <t>Ey3</t>
    <phoneticPr fontId="1" type="noConversion"/>
  </si>
  <si>
    <t>Ex3</t>
    <phoneticPr fontId="1" type="noConversion"/>
  </si>
  <si>
    <t>[[</t>
  </si>
  <si>
    <t>선수</t>
    <phoneticPr fontId="1" type="noConversion"/>
  </si>
  <si>
    <t>2루타</t>
    <phoneticPr fontId="1" type="noConversion"/>
  </si>
  <si>
    <t>3루타</t>
    <phoneticPr fontId="1" type="noConversion"/>
  </si>
  <si>
    <t>평균</t>
    <phoneticPr fontId="1" type="noConversion"/>
  </si>
  <si>
    <t>표준편차</t>
    <phoneticPr fontId="1" type="noConversion"/>
  </si>
  <si>
    <t>표준화 데이터</t>
    <phoneticPr fontId="1" type="noConversion"/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</si>
  <si>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</si>
  <si>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</si>
  <si>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</si>
  <si>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</si>
  <si>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</si>
  <si>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</si>
  <si>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</si>
  <si>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</si>
  <si>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</si>
  <si>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</si>
  <si>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분산</t>
    <phoneticPr fontId="1" type="noConversion"/>
  </si>
  <si>
    <t>상관행렬</t>
    <phoneticPr fontId="1" type="noConversion"/>
  </si>
  <si>
    <t>원래 데이터와 주성분의 상관행렬</t>
    <phoneticPr fontId="1" type="noConversion"/>
  </si>
  <si>
    <t>고유벡터</t>
  </si>
  <si>
    <t>고유값</t>
    <phoneticPr fontId="1" type="noConversion"/>
  </si>
  <si>
    <t>기여율</t>
  </si>
  <si>
    <t>누적기여율</t>
  </si>
  <si>
    <t>합계</t>
    <phoneticPr fontId="1" type="noConversion"/>
  </si>
  <si>
    <t>A</t>
    <phoneticPr fontId="1" type="noConversion"/>
  </si>
  <si>
    <t>B</t>
    <phoneticPr fontId="1" type="noConversion"/>
  </si>
  <si>
    <t>덧셈</t>
    <phoneticPr fontId="1" type="noConversion"/>
  </si>
  <si>
    <t>뺄셈</t>
    <phoneticPr fontId="1" type="noConversion"/>
  </si>
  <si>
    <t>+</t>
    <phoneticPr fontId="1" type="noConversion"/>
  </si>
  <si>
    <t>=</t>
    <phoneticPr fontId="1" type="noConversion"/>
  </si>
  <si>
    <t>A+B</t>
    <phoneticPr fontId="1" type="noConversion"/>
  </si>
  <si>
    <t>BA</t>
    <phoneticPr fontId="1" type="noConversion"/>
  </si>
  <si>
    <t>C</t>
    <phoneticPr fontId="1" type="noConversion"/>
  </si>
  <si>
    <t>(AB)C</t>
    <phoneticPr fontId="1" type="noConversion"/>
  </si>
  <si>
    <t>A(BC)</t>
    <phoneticPr fontId="1" type="noConversion"/>
  </si>
  <si>
    <t>(AB)</t>
    <phoneticPr fontId="1" type="noConversion"/>
  </si>
  <si>
    <t>(BC)</t>
    <phoneticPr fontId="1" type="noConversion"/>
  </si>
  <si>
    <t>AB</t>
    <phoneticPr fontId="1" type="noConversion"/>
  </si>
  <si>
    <t>(B+C)</t>
    <phoneticPr fontId="1" type="noConversion"/>
  </si>
  <si>
    <t>A(B+C)</t>
    <phoneticPr fontId="1" type="noConversion"/>
  </si>
  <si>
    <t>AC</t>
    <phoneticPr fontId="1" type="noConversion"/>
  </si>
  <si>
    <t>AB+AC</t>
    <phoneticPr fontId="1" type="noConversion"/>
  </si>
  <si>
    <t>(A+B)</t>
    <phoneticPr fontId="1" type="noConversion"/>
  </si>
  <si>
    <t>(A+B)C</t>
    <phoneticPr fontId="1" type="noConversion"/>
  </si>
  <si>
    <t>BC</t>
    <phoneticPr fontId="1" type="noConversion"/>
  </si>
  <si>
    <t>AC+BC</t>
    <phoneticPr fontId="1" type="noConversion"/>
  </si>
  <si>
    <t>분배법칙</t>
    <phoneticPr fontId="1" type="noConversion"/>
  </si>
  <si>
    <t>결합법칙</t>
    <phoneticPr fontId="1" type="noConversion"/>
  </si>
  <si>
    <t>교환법칙</t>
    <phoneticPr fontId="1" type="noConversion"/>
  </si>
  <si>
    <t>전치행렬</t>
    <phoneticPr fontId="1" type="noConversion"/>
  </si>
  <si>
    <t>A'</t>
    <phoneticPr fontId="1" type="noConversion"/>
  </si>
  <si>
    <t>행렬 연산</t>
    <phoneticPr fontId="1" type="noConversion"/>
  </si>
  <si>
    <t>행렬 곱셈</t>
    <phoneticPr fontId="1" type="noConversion"/>
  </si>
  <si>
    <t>행렬 차원 오류</t>
    <phoneticPr fontId="1" type="noConversion"/>
  </si>
  <si>
    <t>넓게 선택</t>
    <phoneticPr fontId="1" type="noConversion"/>
  </si>
  <si>
    <t>좁게 선택</t>
    <phoneticPr fontId="1" type="noConversion"/>
  </si>
  <si>
    <t>역행렬</t>
    <phoneticPr fontId="1" type="noConversion"/>
  </si>
  <si>
    <t>B(A의 역행렬)</t>
    <phoneticPr fontId="1" type="noConversion"/>
  </si>
  <si>
    <t>`</t>
    <phoneticPr fontId="1" type="noConversion"/>
  </si>
  <si>
    <t>A의 역행렬</t>
    <phoneticPr fontId="1" type="noConversion"/>
  </si>
  <si>
    <t>A의 역행렬의 역행렬</t>
    <phoneticPr fontId="1" type="noConversion"/>
  </si>
  <si>
    <t>AB의 역행렬</t>
    <phoneticPr fontId="1" type="noConversion"/>
  </si>
  <si>
    <t>B의 역행렬</t>
    <phoneticPr fontId="1" type="noConversion"/>
  </si>
  <si>
    <t>역행렬이 존재하지 않는 행렬</t>
    <phoneticPr fontId="1" type="noConversion"/>
  </si>
  <si>
    <t>연립방정식</t>
    <phoneticPr fontId="1" type="noConversion"/>
  </si>
  <si>
    <t>Y</t>
    <phoneticPr fontId="1" type="noConversion"/>
  </si>
  <si>
    <t>A의 역행렬</t>
    <phoneticPr fontId="1" type="noConversion"/>
  </si>
  <si>
    <t>X</t>
    <phoneticPr fontId="1" type="noConversion"/>
  </si>
  <si>
    <t>x</t>
    <phoneticPr fontId="1" type="noConversion"/>
  </si>
  <si>
    <t>y</t>
    <phoneticPr fontId="1" type="noConversion"/>
  </si>
  <si>
    <t>2배 확대</t>
    <phoneticPr fontId="1" type="noConversion"/>
  </si>
  <si>
    <t>확대후 좌표</t>
    <phoneticPr fontId="1" type="noConversion"/>
  </si>
  <si>
    <t>1/2배 축소</t>
    <phoneticPr fontId="1" type="noConversion"/>
  </si>
  <si>
    <t>축소후 좌표</t>
    <phoneticPr fontId="1" type="noConversion"/>
  </si>
  <si>
    <t>시계방향 45도</t>
    <phoneticPr fontId="1" type="noConversion"/>
  </si>
  <si>
    <t>변환 후 좌표</t>
    <phoneticPr fontId="1" type="noConversion"/>
  </si>
  <si>
    <t>반시계방향 30도</t>
    <phoneticPr fontId="1" type="noConversion"/>
  </si>
  <si>
    <t>반시계방향 30도의 역행렬</t>
    <phoneticPr fontId="1" type="noConversion"/>
  </si>
  <si>
    <t>분산</t>
    <phoneticPr fontId="1" type="noConversion"/>
  </si>
  <si>
    <t>이동 행렬</t>
    <phoneticPr fontId="1" type="noConversion"/>
  </si>
  <si>
    <t>이동 후 좌표</t>
    <phoneticPr fontId="1" type="noConversion"/>
  </si>
  <si>
    <t>Zx'</t>
    <phoneticPr fontId="1" type="noConversion"/>
  </si>
  <si>
    <t>Zx</t>
    <phoneticPr fontId="1" type="noConversion"/>
  </si>
  <si>
    <t>행렬분산</t>
    <phoneticPr fontId="1" type="noConversion"/>
  </si>
  <si>
    <t>행렬 분산 계산</t>
    <phoneticPr fontId="1" type="noConversion"/>
  </si>
  <si>
    <t>VAR.S  분산</t>
    <phoneticPr fontId="1" type="noConversion"/>
  </si>
  <si>
    <t>상관행렬 계산</t>
    <phoneticPr fontId="1" type="noConversion"/>
  </si>
  <si>
    <t>전치행렬</t>
    <phoneticPr fontId="1" type="noConversion"/>
  </si>
  <si>
    <t>엑셀 함수 상관행렬</t>
    <phoneticPr fontId="1" type="noConversion"/>
  </si>
  <si>
    <t>행렬 상관행렬</t>
    <phoneticPr fontId="1" type="noConversion"/>
  </si>
  <si>
    <t>선수</t>
  </si>
  <si>
    <t>표준화 데이터 전치행렬</t>
    <phoneticPr fontId="1" type="noConversion"/>
  </si>
  <si>
    <t xml:space="preserve"> 행렬로 계산한 상관행렬</t>
    <phoneticPr fontId="1" type="noConversion"/>
  </si>
  <si>
    <t>상관행렬(R)</t>
  </si>
  <si>
    <t>실제 데이터</t>
    <phoneticPr fontId="1" type="noConversion"/>
  </si>
  <si>
    <t>실제 데이터 표준화</t>
    <phoneticPr fontId="1" type="noConversion"/>
  </si>
  <si>
    <t>단변량오류</t>
    <phoneticPr fontId="1" type="noConversion"/>
  </si>
  <si>
    <t>상관관계 오류</t>
    <phoneticPr fontId="1" type="noConversion"/>
  </si>
  <si>
    <t>판단</t>
    <phoneticPr fontId="1" type="noConversion"/>
  </si>
  <si>
    <t>오류내용</t>
    <phoneticPr fontId="1" type="noConversion"/>
  </si>
  <si>
    <t>Class</t>
  </si>
  <si>
    <t>Class</t>
    <phoneticPr fontId="1" type="noConversion"/>
  </si>
  <si>
    <t>머리둘레</t>
  </si>
  <si>
    <t>몸통길이</t>
  </si>
  <si>
    <t>꼬리길이</t>
  </si>
  <si>
    <t>dog</t>
  </si>
  <si>
    <t>cat</t>
  </si>
  <si>
    <t>rabbit</t>
  </si>
  <si>
    <t>평균</t>
    <phoneticPr fontId="1" type="noConversion"/>
  </si>
  <si>
    <t>표준편차</t>
    <phoneticPr fontId="1" type="noConversion"/>
  </si>
  <si>
    <t>기준 데이터 : 개</t>
    <phoneticPr fontId="1" type="noConversion"/>
  </si>
  <si>
    <t>기준 데이터 : 고양이</t>
    <phoneticPr fontId="1" type="noConversion"/>
  </si>
  <si>
    <t>표준화 데이터 전치 행렬 (Z')</t>
    <phoneticPr fontId="1" type="noConversion"/>
  </si>
  <si>
    <t>상관행렬 역행렬 (R-1)</t>
    <phoneticPr fontId="1" type="noConversion"/>
  </si>
  <si>
    <t>dog</t>
    <phoneticPr fontId="1" type="noConversion"/>
  </si>
  <si>
    <t>not dog</t>
  </si>
  <si>
    <t>not dog</t>
    <phoneticPr fontId="1" type="noConversion"/>
  </si>
  <si>
    <t>cat</t>
    <phoneticPr fontId="1" type="noConversion"/>
  </si>
  <si>
    <t>not cat</t>
  </si>
  <si>
    <t>not cat</t>
    <phoneticPr fontId="1" type="noConversion"/>
  </si>
  <si>
    <t>판정</t>
    <phoneticPr fontId="1" type="noConversion"/>
  </si>
  <si>
    <t>MD2</t>
    <phoneticPr fontId="1" type="noConversion"/>
  </si>
  <si>
    <t>MD2</t>
    <phoneticPr fontId="1" type="noConversion"/>
  </si>
  <si>
    <t>개의 MD2</t>
    <phoneticPr fontId="1" type="noConversion"/>
  </si>
  <si>
    <t>판정 결과</t>
    <phoneticPr fontId="1" type="noConversion"/>
  </si>
  <si>
    <t>고양이의 MD2</t>
    <phoneticPr fontId="1" type="noConversion"/>
  </si>
  <si>
    <t>최종판정결과</t>
    <phoneticPr fontId="1" type="noConversion"/>
  </si>
  <si>
    <t>not dog, not cat</t>
    <phoneticPr fontId="1" type="noConversion"/>
  </si>
  <si>
    <t>시그마 yx</t>
    <phoneticPr fontId="1" type="noConversion"/>
  </si>
  <si>
    <t>시그마 xx</t>
    <phoneticPr fontId="1" type="noConversion"/>
  </si>
  <si>
    <t>분산</t>
    <phoneticPr fontId="1" type="noConversion"/>
  </si>
  <si>
    <t>상관계수</t>
    <phoneticPr fontId="1" type="noConversion"/>
  </si>
  <si>
    <t>RMS</t>
    <phoneticPr fontId="1" type="noConversion"/>
  </si>
  <si>
    <t>Stage 1</t>
    <phoneticPr fontId="1" type="noConversion"/>
  </si>
  <si>
    <t>Stage 2</t>
    <phoneticPr fontId="1" type="noConversion"/>
  </si>
  <si>
    <t>Stage 3</t>
    <phoneticPr fontId="1" type="noConversion"/>
  </si>
  <si>
    <t>W3</t>
    <phoneticPr fontId="1" type="noConversion"/>
  </si>
  <si>
    <t>주성분 점수</t>
    <phoneticPr fontId="1" type="noConversion"/>
  </si>
  <si>
    <t>일일 평균 손님수 (Y)</t>
  </si>
  <si>
    <t>시그마 yx</t>
    <phoneticPr fontId="1" type="noConversion"/>
  </si>
  <si>
    <t>40*시그마 x</t>
    <phoneticPr fontId="1" type="noConversion"/>
  </si>
  <si>
    <t>시그마 xx</t>
    <phoneticPr fontId="1" type="noConversion"/>
  </si>
  <si>
    <t>기울기 (a)</t>
    <phoneticPr fontId="1" type="noConversion"/>
  </si>
  <si>
    <t>y 절편</t>
    <phoneticPr fontId="1" type="noConversion"/>
  </si>
  <si>
    <t xml:space="preserve">일일 평균 손님수 (예측) </t>
    <phoneticPr fontId="1" type="noConversion"/>
  </si>
  <si>
    <t>Y 예측</t>
    <phoneticPr fontId="1" type="noConversion"/>
  </si>
  <si>
    <t>Y</t>
    <phoneticPr fontId="1" type="noConversion"/>
  </si>
  <si>
    <t>X</t>
    <phoneticPr fontId="1" type="noConversion"/>
  </si>
  <si>
    <t>상수</t>
    <phoneticPr fontId="1" type="noConversion"/>
  </si>
  <si>
    <t>가게 면적</t>
    <phoneticPr fontId="1" type="noConversion"/>
  </si>
  <si>
    <t>지하철역과의 거리</t>
    <phoneticPr fontId="1" type="noConversion"/>
  </si>
  <si>
    <t>기온</t>
    <phoneticPr fontId="1" type="noConversion"/>
  </si>
  <si>
    <t>dm1</t>
    <phoneticPr fontId="1" type="noConversion"/>
  </si>
  <si>
    <t>dm2</t>
    <phoneticPr fontId="1" type="noConversion"/>
  </si>
  <si>
    <t>dm3</t>
    <phoneticPr fontId="1" type="noConversion"/>
  </si>
  <si>
    <t>X'</t>
    <phoneticPr fontId="1" type="noConversion"/>
  </si>
  <si>
    <t>X'X</t>
    <phoneticPr fontId="1" type="noConversion"/>
  </si>
  <si>
    <t>상관계수</t>
    <phoneticPr fontId="1" type="noConversion"/>
  </si>
  <si>
    <t>(X'X)-1</t>
    <phoneticPr fontId="1" type="noConversion"/>
  </si>
  <si>
    <t>(X'X)-1X'Y</t>
    <phoneticPr fontId="1" type="noConversion"/>
  </si>
  <si>
    <t>a0</t>
    <phoneticPr fontId="1" type="noConversion"/>
  </si>
  <si>
    <t>a4</t>
  </si>
  <si>
    <t>a5</t>
  </si>
  <si>
    <t>a6</t>
  </si>
  <si>
    <t>x</t>
    <phoneticPr fontId="1" type="noConversion"/>
  </si>
  <si>
    <t>y</t>
    <phoneticPr fontId="1" type="noConversion"/>
  </si>
  <si>
    <t>중앙값</t>
    <phoneticPr fontId="1" type="noConversion"/>
  </si>
  <si>
    <t>x</t>
    <phoneticPr fontId="1" type="noConversion"/>
  </si>
  <si>
    <t>z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</si>
  <si>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</si>
  <si>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</si>
  <si>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</si>
  <si>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</si>
  <si>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-</t>
    <phoneticPr fontId="1" type="noConversion"/>
  </si>
  <si>
    <t>A-B</t>
    <phoneticPr fontId="1" type="noConversion"/>
  </si>
  <si>
    <t>B의 역행렬과 A의 역행렬의 곱</t>
    <phoneticPr fontId="1" type="noConversion"/>
  </si>
  <si>
    <t>고윳값</t>
    <phoneticPr fontId="1" type="noConversion"/>
  </si>
  <si>
    <t>고유벡터</t>
    <phoneticPr fontId="1" type="noConversion"/>
  </si>
  <si>
    <t>실제 데이터</t>
    <phoneticPr fontId="1" type="noConversion"/>
  </si>
  <si>
    <t>일일 평균 손님수 (Y)</t>
    <phoneticPr fontId="1" type="noConversion"/>
  </si>
  <si>
    <t>Za1</t>
    <phoneticPr fontId="1" type="noConversion"/>
  </si>
  <si>
    <t>Za2</t>
    <phoneticPr fontId="1" type="noConversion"/>
  </si>
  <si>
    <t>Za3</t>
    <phoneticPr fontId="1" type="noConversion"/>
  </si>
  <si>
    <t>Z</t>
    <phoneticPr fontId="1" type="noConversion"/>
  </si>
  <si>
    <t>상관행렬(R)</t>
    <phoneticPr fontId="1" type="noConversion"/>
  </si>
  <si>
    <t>역행렬(R-1)</t>
    <phoneticPr fontId="1" type="noConversion"/>
  </si>
  <si>
    <t>ZR-1</t>
    <phoneticPr fontId="1" type="noConversion"/>
  </si>
  <si>
    <t>ZR-1Z'</t>
    <phoneticPr fontId="1" type="noConversion"/>
  </si>
  <si>
    <t>MD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</si>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</sst>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 "/>
    <numFmt numFmtId="177" formatCode="0.0_ "/>
    <numFmt numFmtId="178" formatCode="0.000000000000000_ "/>
    <numFmt numFmtId="179" formatCode="0.00_);[Red]\(0.00\)"/>
    <numFmt numFmtId="180" formatCode="0_ "/>
    <numFmt numFmtId="181" formatCode="0.0000000_ "/>
    <numFmt numFmtId="182" formatCode="0_);[Red]\(0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24292E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14">
    <xf numFmtId="0" fontId="0" fillId="0" borderId="0" xfId="0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176" fontId="4" fillId="0" borderId="0" xfId="0" applyNumberFormat="1" applyFon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5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6" fontId="0" fillId="6" borderId="0" xfId="0" applyNumberFormat="1" applyFill="1" applyBorder="1" applyAlignment="1">
      <alignment vertical="center"/>
    </xf>
    <xf numFmtId="178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6" fontId="0" fillId="8" borderId="0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176" fontId="3" fillId="7" borderId="0" xfId="0" applyNumberFormat="1" applyFont="1" applyFill="1" applyBorder="1">
      <alignment vertical="center"/>
    </xf>
    <xf numFmtId="176" fontId="3" fillId="8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176" fontId="0" fillId="9" borderId="0" xfId="0" applyNumberFormat="1" applyFill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176" fontId="0" fillId="8" borderId="2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vertical="center"/>
    </xf>
    <xf numFmtId="176" fontId="3" fillId="0" borderId="0" xfId="0" applyNumberFormat="1" applyFont="1" applyFill="1" applyAlignment="1">
      <alignment horizontal="center" vertical="center"/>
    </xf>
    <xf numFmtId="176" fontId="3" fillId="11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76" fontId="3" fillId="7" borderId="0" xfId="0" applyNumberFormat="1" applyFont="1" applyFill="1" applyAlignment="1">
      <alignment horizontal="center" vertical="center"/>
    </xf>
    <xf numFmtId="176" fontId="0" fillId="8" borderId="0" xfId="0" applyNumberFormat="1" applyFont="1" applyFill="1" applyAlignment="1">
      <alignment horizontal="center" vertical="center"/>
    </xf>
    <xf numFmtId="176" fontId="3" fillId="12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13" borderId="0" xfId="1" applyNumberFormat="1" applyFont="1" applyFill="1" applyAlignment="1">
      <alignment horizontal="center" vertical="center" wrapText="1"/>
    </xf>
    <xf numFmtId="176" fontId="4" fillId="8" borderId="0" xfId="1" applyNumberFormat="1" applyFont="1" applyFill="1" applyAlignment="1">
      <alignment horizontal="center" vertical="center" wrapText="1"/>
    </xf>
    <xf numFmtId="176" fontId="4" fillId="14" borderId="0" xfId="1" applyNumberFormat="1" applyFont="1" applyFill="1" applyAlignment="1">
      <alignment horizontal="center" vertical="center" wrapText="1"/>
    </xf>
    <xf numFmtId="0" fontId="4" fillId="0" borderId="0" xfId="1" applyFont="1">
      <alignment vertical="center"/>
    </xf>
    <xf numFmtId="176" fontId="4" fillId="8" borderId="0" xfId="2" applyNumberFormat="1" applyFont="1" applyFill="1" applyAlignment="1">
      <alignment horizontal="center" vertical="center" wrapText="1"/>
    </xf>
    <xf numFmtId="176" fontId="3" fillId="9" borderId="0" xfId="0" applyNumberFormat="1" applyFont="1" applyFill="1" applyAlignment="1">
      <alignment horizontal="center" vertical="center"/>
    </xf>
    <xf numFmtId="176" fontId="4" fillId="11" borderId="0" xfId="3" applyNumberFormat="1" applyFont="1" applyFill="1" applyAlignment="1">
      <alignment horizontal="center" vertical="center" wrapText="1"/>
    </xf>
    <xf numFmtId="0" fontId="4" fillId="0" borderId="0" xfId="3" applyFont="1">
      <alignment vertical="center"/>
    </xf>
    <xf numFmtId="176" fontId="3" fillId="13" borderId="0" xfId="0" applyNumberFormat="1" applyFont="1" applyFill="1" applyAlignment="1">
      <alignment horizontal="center" vertical="center"/>
    </xf>
    <xf numFmtId="176" fontId="3" fillId="14" borderId="0" xfId="0" applyNumberFormat="1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vertical="center"/>
    </xf>
    <xf numFmtId="176" fontId="3" fillId="8" borderId="0" xfId="0" applyNumberFormat="1" applyFont="1" applyFill="1" applyAlignment="1">
      <alignment vertical="center"/>
    </xf>
    <xf numFmtId="176" fontId="0" fillId="0" borderId="0" xfId="0" applyNumberFormat="1">
      <alignment vertical="center"/>
    </xf>
    <xf numFmtId="176" fontId="0" fillId="15" borderId="0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7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176" fontId="3" fillId="0" borderId="0" xfId="0" applyNumberFormat="1" applyFont="1">
      <alignment vertical="center"/>
    </xf>
    <xf numFmtId="176" fontId="0" fillId="3" borderId="0" xfId="0" applyNumberFormat="1" applyFill="1" applyBorder="1" applyAlignment="1">
      <alignment vertical="center"/>
    </xf>
    <xf numFmtId="176" fontId="3" fillId="3" borderId="0" xfId="0" applyNumberFormat="1" applyFont="1" applyFill="1">
      <alignment vertical="center"/>
    </xf>
    <xf numFmtId="176" fontId="5" fillId="22" borderId="4" xfId="0" applyNumberFormat="1" applyFont="1" applyFill="1" applyBorder="1" applyAlignment="1">
      <alignment horizontal="left" vertical="center"/>
    </xf>
    <xf numFmtId="176" fontId="3" fillId="0" borderId="0" xfId="0" applyNumberFormat="1" applyFont="1" applyAlignment="1">
      <alignment vertical="center"/>
    </xf>
    <xf numFmtId="179" fontId="0" fillId="0" borderId="0" xfId="0" applyNumberFormat="1" applyFill="1">
      <alignment vertical="center"/>
    </xf>
    <xf numFmtId="181" fontId="0" fillId="0" borderId="0" xfId="0" applyNumberFormat="1" applyFill="1">
      <alignment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2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176" fontId="0" fillId="23" borderId="0" xfId="0" applyNumberFormat="1" applyFill="1" applyAlignment="1">
      <alignment horizontal="center" vertical="center"/>
    </xf>
    <xf numFmtId="180" fontId="0" fillId="23" borderId="0" xfId="0" applyNumberFormat="1" applyFill="1" applyAlignment="1">
      <alignment horizontal="center" vertical="center"/>
    </xf>
    <xf numFmtId="176" fontId="0" fillId="23" borderId="0" xfId="0" applyNumberFormat="1" applyFill="1">
      <alignment vertical="center"/>
    </xf>
    <xf numFmtId="176" fontId="0" fillId="23" borderId="0" xfId="0" applyNumberFormat="1" applyFill="1" applyBorder="1">
      <alignment vertical="center"/>
    </xf>
    <xf numFmtId="176" fontId="3" fillId="23" borderId="0" xfId="0" applyNumberFormat="1" applyFont="1" applyFill="1" applyBorder="1">
      <alignment vertical="center"/>
    </xf>
    <xf numFmtId="0" fontId="0" fillId="23" borderId="0" xfId="0" applyFill="1" applyBorder="1">
      <alignment vertical="center"/>
    </xf>
    <xf numFmtId="176" fontId="3" fillId="23" borderId="0" xfId="0" applyNumberFormat="1" applyFont="1" applyFill="1">
      <alignment vertical="center"/>
    </xf>
    <xf numFmtId="0" fontId="0" fillId="23" borderId="0" xfId="0" applyFill="1">
      <alignment vertical="center"/>
    </xf>
    <xf numFmtId="179" fontId="0" fillId="23" borderId="0" xfId="0" applyNumberFormat="1" applyFill="1">
      <alignment vertical="center"/>
    </xf>
    <xf numFmtId="177" fontId="0" fillId="6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7" fontId="0" fillId="23" borderId="0" xfId="0" applyNumberFormat="1" applyFill="1">
      <alignment vertical="center"/>
    </xf>
    <xf numFmtId="0" fontId="0" fillId="23" borderId="0" xfId="0" applyFill="1" applyBorder="1" applyAlignment="1">
      <alignment horizontal="center" vertical="center"/>
    </xf>
    <xf numFmtId="176" fontId="0" fillId="23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6" fontId="0" fillId="21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3" fillId="10" borderId="0" xfId="0" applyNumberFormat="1" applyFont="1" applyFill="1" applyAlignment="1">
      <alignment horizontal="center" vertical="center" wrapText="1"/>
    </xf>
    <xf numFmtId="176" fontId="3" fillId="12" borderId="0" xfId="0" applyNumberFormat="1" applyFont="1" applyFill="1" applyAlignment="1">
      <alignment horizontal="center" vertical="center"/>
    </xf>
    <xf numFmtId="176" fontId="4" fillId="12" borderId="0" xfId="3" applyNumberFormat="1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/>
    </xf>
  </cellXfs>
  <cellStyles count="4">
    <cellStyle name="표준" xfId="0" builtinId="0"/>
    <cellStyle name="표준 3" xfId="1"/>
    <cellStyle name="표준 4" xfId="2"/>
    <cellStyle name="표준 6" xfId="3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</xdr:colOff>
          <xdr:row>0</xdr:row>
          <xdr:rowOff>114300</xdr:rowOff>
        </xdr:from>
        <xdr:to>
          <xdr:col>18</xdr:col>
          <xdr:colOff>152400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 고유벡터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30"/>
  <sheetViews>
    <sheetView topLeftCell="B1" zoomScale="70" zoomScaleNormal="70" workbookViewId="0">
      <selection activeCell="C1" sqref="C1"/>
    </sheetView>
  </sheetViews>
  <sheetFormatPr defaultRowHeight="17.399999999999999"/>
  <cols>
    <col min="2" max="2" width="15.19921875" bestFit="1" customWidth="1"/>
    <col min="3" max="3" width="18.3984375" customWidth="1"/>
  </cols>
  <sheetData>
    <row r="1" spans="1:27">
      <c r="B1" t="s">
        <v>43</v>
      </c>
      <c r="C1" s="89">
        <f>AVERAGE(C11:C30)</f>
        <v>165.95</v>
      </c>
      <c r="D1" s="89">
        <f t="shared" ref="D1:O1" si="0">AVERAGE(D11:D30)</f>
        <v>29.35</v>
      </c>
      <c r="E1" s="89">
        <f t="shared" si="0"/>
        <v>2.4500000000000002</v>
      </c>
      <c r="F1" s="89">
        <f t="shared" si="0"/>
        <v>20.55</v>
      </c>
      <c r="G1" s="89">
        <f t="shared" si="0"/>
        <v>89.55</v>
      </c>
      <c r="H1" s="89">
        <f t="shared" si="0"/>
        <v>92.25</v>
      </c>
      <c r="I1" s="89">
        <f t="shared" si="0"/>
        <v>8.85</v>
      </c>
      <c r="J1" s="89">
        <f t="shared" si="0"/>
        <v>61.2</v>
      </c>
      <c r="K1" s="89">
        <f t="shared" si="0"/>
        <v>81.8</v>
      </c>
      <c r="L1" s="89">
        <f t="shared" si="0"/>
        <v>0.33405000000000001</v>
      </c>
      <c r="M1" s="89">
        <f t="shared" si="0"/>
        <v>0.40244999999999997</v>
      </c>
      <c r="N1" s="89">
        <f t="shared" si="0"/>
        <v>0.52769999999999995</v>
      </c>
      <c r="O1" s="89">
        <f t="shared" si="0"/>
        <v>0.93035000000000012</v>
      </c>
      <c r="Q1" s="59"/>
      <c r="R1" s="59" t="s">
        <v>536</v>
      </c>
      <c r="S1" s="59" t="s">
        <v>537</v>
      </c>
      <c r="T1" s="59"/>
      <c r="U1" s="59"/>
      <c r="V1" s="59" t="s">
        <v>539</v>
      </c>
      <c r="W1" s="59" t="s">
        <v>537</v>
      </c>
      <c r="X1" s="59" t="s">
        <v>540</v>
      </c>
      <c r="Z1" s="59"/>
      <c r="AA1" s="59" t="s">
        <v>539</v>
      </c>
    </row>
    <row r="2" spans="1:27">
      <c r="B2" t="s">
        <v>88</v>
      </c>
      <c r="C2" s="89">
        <f>MEDIAN(C11:C30)</f>
        <v>173</v>
      </c>
      <c r="D2" s="89">
        <f t="shared" ref="D2:O2" si="1">MEDIAN(D11:D30)</f>
        <v>29</v>
      </c>
      <c r="E2" s="89">
        <f t="shared" si="1"/>
        <v>2</v>
      </c>
      <c r="F2" s="89">
        <f t="shared" si="1"/>
        <v>20</v>
      </c>
      <c r="G2" s="89">
        <f t="shared" si="1"/>
        <v>91.5</v>
      </c>
      <c r="H2" s="89">
        <f t="shared" si="1"/>
        <v>90</v>
      </c>
      <c r="I2" s="89">
        <f t="shared" si="1"/>
        <v>5.5</v>
      </c>
      <c r="J2" s="89">
        <f t="shared" si="1"/>
        <v>60</v>
      </c>
      <c r="K2" s="89">
        <f t="shared" si="1"/>
        <v>83</v>
      </c>
      <c r="L2" s="89">
        <f t="shared" si="1"/>
        <v>0.33200000000000002</v>
      </c>
      <c r="M2" s="89">
        <f t="shared" si="1"/>
        <v>0.40849999999999997</v>
      </c>
      <c r="N2" s="89">
        <f t="shared" si="1"/>
        <v>0.51350000000000007</v>
      </c>
      <c r="O2" s="89">
        <f t="shared" si="1"/>
        <v>0.91300000000000003</v>
      </c>
      <c r="Q2" s="59"/>
      <c r="R2" s="59">
        <v>1</v>
      </c>
      <c r="S2" s="59">
        <v>1</v>
      </c>
      <c r="T2" s="59"/>
      <c r="U2" s="59"/>
      <c r="V2" s="59">
        <v>1</v>
      </c>
      <c r="W2" s="59">
        <v>1</v>
      </c>
      <c r="X2" s="59">
        <v>1</v>
      </c>
      <c r="Z2" s="59"/>
      <c r="AA2" s="59">
        <v>-3</v>
      </c>
    </row>
    <row r="3" spans="1:27">
      <c r="B3" t="s">
        <v>89</v>
      </c>
      <c r="C3" s="89">
        <f>MODE(C11:C30)</f>
        <v>176</v>
      </c>
      <c r="D3" s="89">
        <f t="shared" ref="D3:O3" si="2">MODE(D11:D30)</f>
        <v>34</v>
      </c>
      <c r="E3" s="89">
        <f t="shared" si="2"/>
        <v>1</v>
      </c>
      <c r="F3" s="89">
        <f t="shared" si="2"/>
        <v>20</v>
      </c>
      <c r="G3" s="89">
        <f t="shared" si="2"/>
        <v>111</v>
      </c>
      <c r="H3" s="89">
        <f t="shared" si="2"/>
        <v>84</v>
      </c>
      <c r="I3" s="89">
        <f t="shared" si="2"/>
        <v>4</v>
      </c>
      <c r="J3" s="89">
        <f t="shared" si="2"/>
        <v>60</v>
      </c>
      <c r="K3" s="89">
        <f t="shared" si="2"/>
        <v>88</v>
      </c>
      <c r="L3" s="89">
        <f t="shared" si="2"/>
        <v>0.33200000000000002</v>
      </c>
      <c r="M3" s="89">
        <f t="shared" si="2"/>
        <v>0.42</v>
      </c>
      <c r="N3" s="89" t="e">
        <f t="shared" si="2"/>
        <v>#N/A</v>
      </c>
      <c r="O3" s="89">
        <f t="shared" si="2"/>
        <v>0.91300000000000003</v>
      </c>
      <c r="Q3" s="59"/>
      <c r="R3" s="59">
        <v>1</v>
      </c>
      <c r="S3" s="59">
        <v>1</v>
      </c>
      <c r="T3" s="59"/>
      <c r="U3" s="59"/>
      <c r="V3" s="59">
        <v>2</v>
      </c>
      <c r="W3" s="59">
        <v>1</v>
      </c>
      <c r="X3" s="59">
        <v>2</v>
      </c>
      <c r="Z3" s="59"/>
      <c r="AA3" s="59">
        <v>-2</v>
      </c>
    </row>
    <row r="4" spans="1:27">
      <c r="B4" t="s">
        <v>90</v>
      </c>
      <c r="C4" s="89">
        <f>MAX(C11:C30)</f>
        <v>193</v>
      </c>
      <c r="D4" s="89">
        <f t="shared" ref="D4:O4" si="3">MAX(D11:D30)</f>
        <v>42</v>
      </c>
      <c r="E4" s="89">
        <f t="shared" si="3"/>
        <v>8</v>
      </c>
      <c r="F4" s="89">
        <f t="shared" si="3"/>
        <v>46</v>
      </c>
      <c r="G4" s="89">
        <f t="shared" si="3"/>
        <v>124</v>
      </c>
      <c r="H4" s="89">
        <f t="shared" si="3"/>
        <v>118</v>
      </c>
      <c r="I4" s="89">
        <f t="shared" si="3"/>
        <v>32</v>
      </c>
      <c r="J4" s="89">
        <f t="shared" si="3"/>
        <v>107</v>
      </c>
      <c r="K4" s="89">
        <f t="shared" si="3"/>
        <v>123</v>
      </c>
      <c r="L4" s="89">
        <f t="shared" si="3"/>
        <v>0.37</v>
      </c>
      <c r="M4" s="89">
        <f t="shared" si="3"/>
        <v>0.45</v>
      </c>
      <c r="N4" s="89">
        <f t="shared" si="3"/>
        <v>0.68400000000000005</v>
      </c>
      <c r="O4" s="89">
        <f t="shared" si="3"/>
        <v>1.111</v>
      </c>
      <c r="Q4" s="59"/>
      <c r="R4" s="59">
        <v>3</v>
      </c>
      <c r="S4" s="59">
        <v>3</v>
      </c>
      <c r="T4" s="59"/>
      <c r="U4" s="59"/>
      <c r="V4" s="59">
        <v>2</v>
      </c>
      <c r="W4" s="59">
        <v>2</v>
      </c>
      <c r="X4" s="59">
        <v>3</v>
      </c>
      <c r="Z4" s="59"/>
      <c r="AA4" s="59">
        <v>-1</v>
      </c>
    </row>
    <row r="5" spans="1:27">
      <c r="B5" t="s">
        <v>91</v>
      </c>
      <c r="C5" s="89">
        <f>MIN(C11:C30)</f>
        <v>136</v>
      </c>
      <c r="D5" s="89">
        <f t="shared" ref="D5:O5" si="4">MIN(D11:D30)</f>
        <v>13</v>
      </c>
      <c r="E5" s="89">
        <f t="shared" si="4"/>
        <v>0</v>
      </c>
      <c r="F5" s="89">
        <f t="shared" si="4"/>
        <v>2</v>
      </c>
      <c r="G5" s="89">
        <f t="shared" si="4"/>
        <v>47</v>
      </c>
      <c r="H5" s="89">
        <f t="shared" si="4"/>
        <v>71</v>
      </c>
      <c r="I5" s="89">
        <f t="shared" si="4"/>
        <v>0</v>
      </c>
      <c r="J5" s="89">
        <f t="shared" si="4"/>
        <v>24</v>
      </c>
      <c r="K5" s="89">
        <f t="shared" si="4"/>
        <v>40</v>
      </c>
      <c r="L5" s="89">
        <f t="shared" si="4"/>
        <v>0.312</v>
      </c>
      <c r="M5" s="89">
        <f t="shared" si="4"/>
        <v>0.35599999999999998</v>
      </c>
      <c r="N5" s="89">
        <f t="shared" si="4"/>
        <v>0.41699999999999998</v>
      </c>
      <c r="O5" s="89">
        <f t="shared" si="4"/>
        <v>0.81200000000000006</v>
      </c>
      <c r="Q5" s="59"/>
      <c r="R5" s="59">
        <v>4</v>
      </c>
      <c r="S5" s="59">
        <v>4</v>
      </c>
      <c r="T5" s="59"/>
      <c r="U5" s="59"/>
      <c r="V5" s="59">
        <v>3</v>
      </c>
      <c r="W5" s="59">
        <v>3</v>
      </c>
      <c r="X5" s="59">
        <v>4</v>
      </c>
      <c r="Z5" s="78" t="s">
        <v>542</v>
      </c>
      <c r="AA5" s="78">
        <f>MAX(AA2:AA4)</f>
        <v>-1</v>
      </c>
    </row>
    <row r="6" spans="1:27">
      <c r="B6" t="s">
        <v>92</v>
      </c>
      <c r="C6" s="89">
        <f>MAX(C11:C30)-MIN(C11:C30)</f>
        <v>57</v>
      </c>
      <c r="D6" s="89">
        <f t="shared" ref="D6:O6" si="5">MAX(D11:D30)-MIN(D11:D30)</f>
        <v>29</v>
      </c>
      <c r="E6" s="89">
        <f t="shared" si="5"/>
        <v>8</v>
      </c>
      <c r="F6" s="89">
        <f t="shared" si="5"/>
        <v>44</v>
      </c>
      <c r="G6" s="89">
        <f t="shared" si="5"/>
        <v>77</v>
      </c>
      <c r="H6" s="89">
        <f t="shared" si="5"/>
        <v>47</v>
      </c>
      <c r="I6" s="89">
        <f t="shared" si="5"/>
        <v>32</v>
      </c>
      <c r="J6" s="89">
        <f t="shared" si="5"/>
        <v>83</v>
      </c>
      <c r="K6" s="89">
        <f t="shared" si="5"/>
        <v>83</v>
      </c>
      <c r="L6" s="89">
        <f t="shared" si="5"/>
        <v>5.7999999999999996E-2</v>
      </c>
      <c r="M6" s="89">
        <f t="shared" si="5"/>
        <v>9.4000000000000028E-2</v>
      </c>
      <c r="N6" s="89">
        <f t="shared" si="5"/>
        <v>0.26700000000000007</v>
      </c>
      <c r="O6" s="89">
        <f t="shared" si="5"/>
        <v>0.29899999999999993</v>
      </c>
      <c r="Q6" s="59"/>
      <c r="R6" s="59">
        <v>5</v>
      </c>
      <c r="S6" s="59">
        <v>5</v>
      </c>
      <c r="T6" s="59"/>
      <c r="U6" s="59"/>
      <c r="V6" s="59">
        <v>3</v>
      </c>
      <c r="W6" s="59">
        <v>3</v>
      </c>
      <c r="X6" s="59">
        <v>5</v>
      </c>
      <c r="Z6" s="78" t="s">
        <v>543</v>
      </c>
      <c r="AA6" s="78">
        <f>MIN(AA2:AA4)</f>
        <v>-3</v>
      </c>
    </row>
    <row r="7" spans="1:27">
      <c r="B7" t="s">
        <v>450</v>
      </c>
      <c r="C7" s="84">
        <f>_xlfn.VAR.S(C11:C30)</f>
        <v>266.26052631578949</v>
      </c>
      <c r="D7" s="84">
        <f t="shared" ref="D7:O7" si="6">_xlfn.VAR.S(D11:D30)</f>
        <v>51.713157894736803</v>
      </c>
      <c r="E7" s="84">
        <f t="shared" si="6"/>
        <v>5.2078947368421051</v>
      </c>
      <c r="F7" s="84">
        <f t="shared" si="6"/>
        <v>149.83947368421056</v>
      </c>
      <c r="G7" s="84">
        <f t="shared" si="6"/>
        <v>581.73421052631636</v>
      </c>
      <c r="H7" s="84">
        <f t="shared" si="6"/>
        <v>184.72368421052633</v>
      </c>
      <c r="I7" s="84">
        <f t="shared" si="6"/>
        <v>80.871052631578948</v>
      </c>
      <c r="J7" s="84">
        <f t="shared" si="6"/>
        <v>459.64210526315776</v>
      </c>
      <c r="K7" s="84">
        <f t="shared" si="6"/>
        <v>531.1157894736848</v>
      </c>
      <c r="L7" s="84">
        <f t="shared" si="6"/>
        <v>3.0352368421052617E-4</v>
      </c>
      <c r="M7" s="84">
        <f t="shared" si="6"/>
        <v>8.0120789473684209E-4</v>
      </c>
      <c r="N7" s="84">
        <f t="shared" si="6"/>
        <v>5.1921157894737674E-3</v>
      </c>
      <c r="O7" s="84">
        <f t="shared" si="6"/>
        <v>7.5528710526315823E-3</v>
      </c>
      <c r="Q7" s="59"/>
      <c r="R7" s="59"/>
      <c r="S7" s="59">
        <v>6</v>
      </c>
      <c r="T7" s="59"/>
      <c r="U7" s="59"/>
      <c r="V7" s="59">
        <v>4</v>
      </c>
      <c r="W7" s="59">
        <v>4</v>
      </c>
      <c r="X7" s="59">
        <v>6</v>
      </c>
      <c r="Z7" s="78" t="s">
        <v>544</v>
      </c>
      <c r="AA7" s="78">
        <f>MAX(AA2:AA4)-MIN(AA2:AA4)</f>
        <v>2</v>
      </c>
    </row>
    <row r="8" spans="1:27">
      <c r="B8" t="s">
        <v>44</v>
      </c>
      <c r="C8" s="84">
        <f>_xlfn.STDEV.S(C11:C30)</f>
        <v>16.317491422267992</v>
      </c>
      <c r="D8" s="84">
        <f t="shared" ref="D8:O8" si="7">_xlfn.STDEV.S(D11:D30)</f>
        <v>7.1911861257192333</v>
      </c>
      <c r="E8" s="84">
        <f t="shared" si="7"/>
        <v>2.282081229238369</v>
      </c>
      <c r="F8" s="84">
        <f t="shared" si="7"/>
        <v>12.240893500239702</v>
      </c>
      <c r="G8" s="84">
        <f t="shared" si="7"/>
        <v>24.119166870485316</v>
      </c>
      <c r="H8" s="84">
        <f t="shared" si="7"/>
        <v>13.591309142629576</v>
      </c>
      <c r="I8" s="84">
        <f t="shared" si="7"/>
        <v>8.9928334039711277</v>
      </c>
      <c r="J8" s="84">
        <f t="shared" si="7"/>
        <v>21.439265501951269</v>
      </c>
      <c r="K8" s="84">
        <f t="shared" si="7"/>
        <v>23.045949524237113</v>
      </c>
      <c r="L8" s="84">
        <f t="shared" si="7"/>
        <v>1.7421931127476257E-2</v>
      </c>
      <c r="M8" s="84">
        <f t="shared" si="7"/>
        <v>2.8305615957559413E-2</v>
      </c>
      <c r="N8" s="84">
        <f t="shared" si="7"/>
        <v>7.2056337607970103E-2</v>
      </c>
      <c r="O8" s="84">
        <f t="shared" si="7"/>
        <v>8.6907255465994218E-2</v>
      </c>
      <c r="Q8" s="78" t="s">
        <v>538</v>
      </c>
      <c r="R8" s="78">
        <f>MEDIAN(R2:R6)</f>
        <v>3</v>
      </c>
      <c r="S8" s="78">
        <f>MEDIAN(S2:S7)</f>
        <v>3.5</v>
      </c>
      <c r="T8" s="59"/>
      <c r="U8" s="59"/>
      <c r="V8" s="59">
        <v>5</v>
      </c>
      <c r="W8" s="59">
        <v>5</v>
      </c>
      <c r="X8" s="59">
        <v>7</v>
      </c>
    </row>
    <row r="9" spans="1:27">
      <c r="Q9" s="59"/>
      <c r="R9" s="59"/>
      <c r="S9" s="59"/>
      <c r="T9" s="59"/>
      <c r="U9" s="59"/>
      <c r="V9" s="59">
        <v>5</v>
      </c>
      <c r="W9" s="59">
        <v>5</v>
      </c>
      <c r="X9" s="59">
        <v>8</v>
      </c>
    </row>
    <row r="10" spans="1:27">
      <c r="A10" t="s">
        <v>7</v>
      </c>
      <c r="B10" t="s">
        <v>8</v>
      </c>
      <c r="C10" t="s">
        <v>11</v>
      </c>
      <c r="D10" t="s">
        <v>12</v>
      </c>
      <c r="E10" t="s">
        <v>13</v>
      </c>
      <c r="F10" t="s">
        <v>14</v>
      </c>
      <c r="G10" t="s">
        <v>15</v>
      </c>
      <c r="H10" t="s">
        <v>16</v>
      </c>
      <c r="I10" t="s">
        <v>17</v>
      </c>
      <c r="J10" t="s">
        <v>18</v>
      </c>
      <c r="K10" t="s">
        <v>19</v>
      </c>
      <c r="L10" t="s">
        <v>20</v>
      </c>
      <c r="M10" t="s">
        <v>21</v>
      </c>
      <c r="N10" t="s">
        <v>22</v>
      </c>
      <c r="O10" t="s">
        <v>23</v>
      </c>
      <c r="Q10" s="59"/>
      <c r="R10" s="59"/>
      <c r="S10" s="59"/>
      <c r="T10" s="59"/>
      <c r="U10" s="59"/>
      <c r="V10" s="59">
        <v>5</v>
      </c>
      <c r="W10" s="59">
        <v>6</v>
      </c>
      <c r="X10" s="59">
        <v>9</v>
      </c>
    </row>
    <row r="11" spans="1:27">
      <c r="A11">
        <v>1</v>
      </c>
      <c r="B11" t="s">
        <v>48</v>
      </c>
      <c r="C11">
        <v>176</v>
      </c>
      <c r="D11">
        <v>34</v>
      </c>
      <c r="E11">
        <v>1</v>
      </c>
      <c r="F11">
        <v>5</v>
      </c>
      <c r="G11">
        <v>64</v>
      </c>
      <c r="H11">
        <v>84</v>
      </c>
      <c r="I11">
        <v>4</v>
      </c>
      <c r="J11">
        <v>44</v>
      </c>
      <c r="K11">
        <v>40</v>
      </c>
      <c r="L11">
        <v>0.37</v>
      </c>
      <c r="M11">
        <v>0.42</v>
      </c>
      <c r="N11">
        <v>0.47699999999999998</v>
      </c>
      <c r="O11">
        <v>0.89700000000000002</v>
      </c>
      <c r="Q11" s="59"/>
      <c r="R11" s="59"/>
      <c r="S11" s="59"/>
      <c r="T11" s="59"/>
      <c r="U11" s="59"/>
      <c r="V11" s="59">
        <v>6</v>
      </c>
      <c r="W11" s="59">
        <v>7</v>
      </c>
      <c r="X11" s="59">
        <v>10</v>
      </c>
    </row>
    <row r="12" spans="1:27">
      <c r="A12">
        <v>2</v>
      </c>
      <c r="B12" t="s">
        <v>49</v>
      </c>
      <c r="C12">
        <v>177</v>
      </c>
      <c r="D12">
        <v>40</v>
      </c>
      <c r="E12">
        <v>2</v>
      </c>
      <c r="F12">
        <v>20</v>
      </c>
      <c r="G12">
        <v>78</v>
      </c>
      <c r="H12">
        <v>91</v>
      </c>
      <c r="I12">
        <v>20</v>
      </c>
      <c r="J12">
        <v>51</v>
      </c>
      <c r="K12">
        <v>64</v>
      </c>
      <c r="L12">
        <v>0.36599999999999999</v>
      </c>
      <c r="M12">
        <v>0.42399999999999999</v>
      </c>
      <c r="N12">
        <v>0.58199999999999996</v>
      </c>
      <c r="O12">
        <v>1.006</v>
      </c>
      <c r="Q12" s="59"/>
      <c r="R12" s="59"/>
      <c r="S12" s="59"/>
      <c r="T12" s="59"/>
      <c r="U12" s="78" t="s">
        <v>541</v>
      </c>
      <c r="V12" s="78">
        <f>MODE(V2:V11)</f>
        <v>5</v>
      </c>
      <c r="W12" s="78">
        <f>MODE(W2:W11)</f>
        <v>1</v>
      </c>
      <c r="X12" s="78" t="e">
        <f>MODE(X2:X11)</f>
        <v>#N/A</v>
      </c>
    </row>
    <row r="13" spans="1:27">
      <c r="A13">
        <v>3</v>
      </c>
      <c r="B13" t="s">
        <v>50</v>
      </c>
      <c r="C13">
        <v>141</v>
      </c>
      <c r="D13">
        <v>25</v>
      </c>
      <c r="E13">
        <v>4</v>
      </c>
      <c r="F13">
        <v>3</v>
      </c>
      <c r="G13">
        <v>47</v>
      </c>
      <c r="H13">
        <v>84</v>
      </c>
      <c r="I13">
        <v>11</v>
      </c>
      <c r="J13">
        <v>57</v>
      </c>
      <c r="K13">
        <v>51</v>
      </c>
      <c r="L13">
        <v>0.36299999999999999</v>
      </c>
      <c r="M13">
        <v>0.441</v>
      </c>
      <c r="N13">
        <v>0.47199999999999998</v>
      </c>
      <c r="O13">
        <v>0.91300000000000003</v>
      </c>
    </row>
    <row r="14" spans="1:27">
      <c r="A14">
        <v>4</v>
      </c>
      <c r="B14" t="s">
        <v>51</v>
      </c>
      <c r="C14">
        <v>173</v>
      </c>
      <c r="D14">
        <v>42</v>
      </c>
      <c r="E14">
        <v>2</v>
      </c>
      <c r="F14">
        <v>24</v>
      </c>
      <c r="G14">
        <v>99</v>
      </c>
      <c r="H14">
        <v>103</v>
      </c>
      <c r="I14">
        <v>17</v>
      </c>
      <c r="J14">
        <v>60</v>
      </c>
      <c r="K14">
        <v>116</v>
      </c>
      <c r="L14">
        <v>0.34699999999999998</v>
      </c>
      <c r="M14">
        <v>0.41499999999999998</v>
      </c>
      <c r="N14">
        <v>0.58399999999999996</v>
      </c>
      <c r="O14">
        <v>1</v>
      </c>
    </row>
    <row r="15" spans="1:27">
      <c r="A15">
        <v>5</v>
      </c>
      <c r="B15" t="s">
        <v>52</v>
      </c>
      <c r="C15">
        <v>175</v>
      </c>
      <c r="D15">
        <v>23</v>
      </c>
      <c r="E15">
        <v>2</v>
      </c>
      <c r="F15">
        <v>14</v>
      </c>
      <c r="G15">
        <v>90</v>
      </c>
      <c r="H15">
        <v>83</v>
      </c>
      <c r="I15">
        <v>4</v>
      </c>
      <c r="J15">
        <v>78</v>
      </c>
      <c r="K15">
        <v>88</v>
      </c>
      <c r="L15">
        <v>0.34399999999999997</v>
      </c>
      <c r="M15">
        <v>0.42499999999999999</v>
      </c>
      <c r="N15">
        <v>0.47899999999999998</v>
      </c>
      <c r="O15">
        <v>0.90400000000000003</v>
      </c>
    </row>
    <row r="16" spans="1:27">
      <c r="A16">
        <v>6</v>
      </c>
      <c r="B16" t="s">
        <v>53</v>
      </c>
      <c r="C16">
        <v>176</v>
      </c>
      <c r="D16">
        <v>36</v>
      </c>
      <c r="E16">
        <v>3</v>
      </c>
      <c r="F16">
        <v>26</v>
      </c>
      <c r="G16">
        <v>120</v>
      </c>
      <c r="H16">
        <v>98</v>
      </c>
      <c r="I16">
        <v>0</v>
      </c>
      <c r="J16">
        <v>107</v>
      </c>
      <c r="K16">
        <v>82</v>
      </c>
      <c r="L16">
        <v>0.34200000000000003</v>
      </c>
      <c r="M16">
        <v>0.45</v>
      </c>
      <c r="N16">
        <v>0.57599999999999996</v>
      </c>
      <c r="O16">
        <v>1.026</v>
      </c>
      <c r="W16" s="59"/>
    </row>
    <row r="17" spans="1:23">
      <c r="A17">
        <v>7</v>
      </c>
      <c r="B17" t="s">
        <v>54</v>
      </c>
      <c r="C17">
        <v>185</v>
      </c>
      <c r="D17">
        <v>34</v>
      </c>
      <c r="E17">
        <v>2</v>
      </c>
      <c r="F17">
        <v>35</v>
      </c>
      <c r="G17">
        <v>115</v>
      </c>
      <c r="H17">
        <v>110</v>
      </c>
      <c r="I17">
        <v>4</v>
      </c>
      <c r="J17">
        <v>88</v>
      </c>
      <c r="K17">
        <v>123</v>
      </c>
      <c r="L17">
        <v>0.34</v>
      </c>
      <c r="M17">
        <v>0.42899999999999999</v>
      </c>
      <c r="N17">
        <v>0.60299999999999998</v>
      </c>
      <c r="O17">
        <v>1.032</v>
      </c>
      <c r="W17" s="59"/>
    </row>
    <row r="18" spans="1:23">
      <c r="A18">
        <v>8</v>
      </c>
      <c r="B18" t="s">
        <v>55</v>
      </c>
      <c r="C18">
        <v>151</v>
      </c>
      <c r="D18">
        <v>30</v>
      </c>
      <c r="E18">
        <v>1</v>
      </c>
      <c r="F18">
        <v>37</v>
      </c>
      <c r="G18">
        <v>111</v>
      </c>
      <c r="H18">
        <v>100</v>
      </c>
      <c r="I18">
        <v>10</v>
      </c>
      <c r="J18">
        <v>60</v>
      </c>
      <c r="K18">
        <v>61</v>
      </c>
      <c r="L18">
        <v>0.33900000000000002</v>
      </c>
      <c r="M18">
        <v>0.41399999999999998</v>
      </c>
      <c r="N18">
        <v>0.66100000000000003</v>
      </c>
      <c r="O18">
        <v>1.0740000000000001</v>
      </c>
      <c r="W18" s="59"/>
    </row>
    <row r="19" spans="1:23">
      <c r="A19">
        <v>9</v>
      </c>
      <c r="B19" t="s">
        <v>56</v>
      </c>
      <c r="C19">
        <v>193</v>
      </c>
      <c r="D19">
        <v>35</v>
      </c>
      <c r="E19">
        <v>4</v>
      </c>
      <c r="F19">
        <v>20</v>
      </c>
      <c r="G19">
        <v>80</v>
      </c>
      <c r="H19">
        <v>113</v>
      </c>
      <c r="I19">
        <v>25</v>
      </c>
      <c r="J19">
        <v>87</v>
      </c>
      <c r="K19">
        <v>96</v>
      </c>
      <c r="L19">
        <v>0.33500000000000002</v>
      </c>
      <c r="M19">
        <v>0.42</v>
      </c>
      <c r="N19">
        <v>0.51400000000000001</v>
      </c>
      <c r="O19">
        <v>0.93400000000000005</v>
      </c>
      <c r="W19" s="59"/>
    </row>
    <row r="20" spans="1:23">
      <c r="A20">
        <v>10</v>
      </c>
      <c r="B20" t="s">
        <v>57</v>
      </c>
      <c r="C20">
        <v>179</v>
      </c>
      <c r="D20">
        <v>28</v>
      </c>
      <c r="E20">
        <v>3</v>
      </c>
      <c r="F20">
        <v>6</v>
      </c>
      <c r="G20">
        <v>76</v>
      </c>
      <c r="H20">
        <v>87</v>
      </c>
      <c r="I20">
        <v>15</v>
      </c>
      <c r="J20">
        <v>68</v>
      </c>
      <c r="K20">
        <v>68</v>
      </c>
      <c r="L20">
        <v>0.33200000000000002</v>
      </c>
      <c r="M20">
        <v>0.40300000000000002</v>
      </c>
      <c r="N20">
        <v>0.42899999999999999</v>
      </c>
      <c r="O20">
        <v>0.83199999999999996</v>
      </c>
      <c r="W20" s="59"/>
    </row>
    <row r="21" spans="1:23">
      <c r="A21">
        <v>11</v>
      </c>
      <c r="B21" t="s">
        <v>58</v>
      </c>
      <c r="C21">
        <v>154</v>
      </c>
      <c r="D21">
        <v>24</v>
      </c>
      <c r="E21">
        <v>4</v>
      </c>
      <c r="F21">
        <v>9</v>
      </c>
      <c r="G21">
        <v>63</v>
      </c>
      <c r="H21">
        <v>79</v>
      </c>
      <c r="I21">
        <v>8</v>
      </c>
      <c r="J21">
        <v>31</v>
      </c>
      <c r="K21">
        <v>57</v>
      </c>
      <c r="L21">
        <v>0.33200000000000002</v>
      </c>
      <c r="M21">
        <v>0.371</v>
      </c>
      <c r="N21">
        <v>0.45900000000000002</v>
      </c>
      <c r="O21">
        <v>0.83099999999999996</v>
      </c>
      <c r="W21" s="59"/>
    </row>
    <row r="22" spans="1:23">
      <c r="A22">
        <v>12</v>
      </c>
      <c r="B22" t="s">
        <v>59</v>
      </c>
      <c r="C22">
        <v>143</v>
      </c>
      <c r="D22">
        <v>26</v>
      </c>
      <c r="E22">
        <v>0</v>
      </c>
      <c r="F22">
        <v>13</v>
      </c>
      <c r="G22">
        <v>75</v>
      </c>
      <c r="H22">
        <v>71</v>
      </c>
      <c r="I22">
        <v>2</v>
      </c>
      <c r="J22">
        <v>24</v>
      </c>
      <c r="K22">
        <v>88</v>
      </c>
      <c r="L22">
        <v>0.32700000000000001</v>
      </c>
      <c r="M22">
        <v>0.35599999999999998</v>
      </c>
      <c r="N22">
        <v>0.47599999999999998</v>
      </c>
      <c r="O22">
        <v>0.83199999999999996</v>
      </c>
    </row>
    <row r="23" spans="1:23">
      <c r="A23">
        <v>13</v>
      </c>
      <c r="B23" t="s">
        <v>60</v>
      </c>
      <c r="C23">
        <v>179</v>
      </c>
      <c r="D23">
        <v>29</v>
      </c>
      <c r="E23">
        <v>8</v>
      </c>
      <c r="F23">
        <v>2</v>
      </c>
      <c r="G23">
        <v>47</v>
      </c>
      <c r="H23">
        <v>111</v>
      </c>
      <c r="I23">
        <v>12</v>
      </c>
      <c r="J23">
        <v>66</v>
      </c>
      <c r="K23">
        <v>67</v>
      </c>
      <c r="L23">
        <v>0.32400000000000001</v>
      </c>
      <c r="M23">
        <v>0.39500000000000002</v>
      </c>
      <c r="N23">
        <v>0.41699999999999998</v>
      </c>
      <c r="O23">
        <v>0.81200000000000006</v>
      </c>
    </row>
    <row r="24" spans="1:23">
      <c r="A24">
        <v>14</v>
      </c>
      <c r="B24" t="s">
        <v>61</v>
      </c>
      <c r="C24">
        <v>146</v>
      </c>
      <c r="D24">
        <v>27</v>
      </c>
      <c r="E24">
        <v>1</v>
      </c>
      <c r="F24">
        <v>18</v>
      </c>
      <c r="G24">
        <v>69</v>
      </c>
      <c r="H24">
        <v>76</v>
      </c>
      <c r="I24">
        <v>2</v>
      </c>
      <c r="J24">
        <v>37</v>
      </c>
      <c r="K24">
        <v>70</v>
      </c>
      <c r="L24">
        <v>0.32100000000000001</v>
      </c>
      <c r="M24">
        <v>0.37</v>
      </c>
      <c r="N24">
        <v>0.503</v>
      </c>
      <c r="O24">
        <v>0.874</v>
      </c>
    </row>
    <row r="25" spans="1:23">
      <c r="A25">
        <v>15</v>
      </c>
      <c r="B25" t="s">
        <v>62</v>
      </c>
      <c r="C25">
        <v>173</v>
      </c>
      <c r="D25">
        <v>13</v>
      </c>
      <c r="E25">
        <v>0</v>
      </c>
      <c r="F25">
        <v>34</v>
      </c>
      <c r="G25">
        <v>111</v>
      </c>
      <c r="H25">
        <v>73</v>
      </c>
      <c r="I25">
        <v>1</v>
      </c>
      <c r="J25">
        <v>65</v>
      </c>
      <c r="K25">
        <v>84</v>
      </c>
      <c r="L25">
        <v>0.32</v>
      </c>
      <c r="M25">
        <v>0.39100000000000001</v>
      </c>
      <c r="N25">
        <v>0.53300000000000003</v>
      </c>
      <c r="O25">
        <v>0.92500000000000004</v>
      </c>
    </row>
    <row r="26" spans="1:23">
      <c r="A26">
        <v>16</v>
      </c>
      <c r="B26" t="s">
        <v>63</v>
      </c>
      <c r="C26">
        <v>178</v>
      </c>
      <c r="D26">
        <v>26</v>
      </c>
      <c r="E26">
        <v>8</v>
      </c>
      <c r="F26">
        <v>27</v>
      </c>
      <c r="G26">
        <v>111</v>
      </c>
      <c r="H26">
        <v>118</v>
      </c>
      <c r="I26">
        <v>32</v>
      </c>
      <c r="J26">
        <v>52</v>
      </c>
      <c r="K26">
        <v>112</v>
      </c>
      <c r="L26">
        <v>0.32</v>
      </c>
      <c r="M26">
        <v>0.372</v>
      </c>
      <c r="N26">
        <v>0.54</v>
      </c>
      <c r="O26">
        <v>0.91300000000000003</v>
      </c>
    </row>
    <row r="27" spans="1:23">
      <c r="A27">
        <v>17</v>
      </c>
      <c r="B27" t="s">
        <v>64</v>
      </c>
      <c r="C27">
        <v>136</v>
      </c>
      <c r="D27">
        <v>18</v>
      </c>
      <c r="E27">
        <v>1</v>
      </c>
      <c r="F27">
        <v>46</v>
      </c>
      <c r="G27">
        <v>113</v>
      </c>
      <c r="H27">
        <v>89</v>
      </c>
      <c r="I27">
        <v>1</v>
      </c>
      <c r="J27">
        <v>89</v>
      </c>
      <c r="K27">
        <v>107</v>
      </c>
      <c r="L27">
        <v>0.316</v>
      </c>
      <c r="M27">
        <v>0.42699999999999999</v>
      </c>
      <c r="N27">
        <v>0.68400000000000005</v>
      </c>
      <c r="O27">
        <v>1.111</v>
      </c>
    </row>
    <row r="28" spans="1:23">
      <c r="A28">
        <v>18</v>
      </c>
      <c r="B28" t="s">
        <v>65</v>
      </c>
      <c r="C28">
        <v>154</v>
      </c>
      <c r="D28">
        <v>29</v>
      </c>
      <c r="E28">
        <v>2</v>
      </c>
      <c r="F28">
        <v>21</v>
      </c>
      <c r="G28">
        <v>93</v>
      </c>
      <c r="H28">
        <v>95</v>
      </c>
      <c r="I28">
        <v>7</v>
      </c>
      <c r="J28">
        <v>47</v>
      </c>
      <c r="K28">
        <v>70</v>
      </c>
      <c r="L28">
        <v>0.316</v>
      </c>
      <c r="M28">
        <v>0.373</v>
      </c>
      <c r="N28">
        <v>0.51300000000000001</v>
      </c>
      <c r="O28">
        <v>0.88600000000000001</v>
      </c>
    </row>
    <row r="29" spans="1:23">
      <c r="A29">
        <v>19</v>
      </c>
      <c r="B29" t="s">
        <v>66</v>
      </c>
      <c r="C29">
        <v>162</v>
      </c>
      <c r="D29">
        <v>38</v>
      </c>
      <c r="E29">
        <v>0</v>
      </c>
      <c r="F29">
        <v>31</v>
      </c>
      <c r="G29">
        <v>124</v>
      </c>
      <c r="H29">
        <v>90</v>
      </c>
      <c r="I29">
        <v>2</v>
      </c>
      <c r="J29">
        <v>72</v>
      </c>
      <c r="K29">
        <v>107</v>
      </c>
      <c r="L29">
        <v>0.315</v>
      </c>
      <c r="M29">
        <v>0.39600000000000002</v>
      </c>
      <c r="N29">
        <v>0.56899999999999995</v>
      </c>
      <c r="O29">
        <v>0.96499999999999997</v>
      </c>
    </row>
    <row r="30" spans="1:23">
      <c r="A30">
        <v>20</v>
      </c>
      <c r="B30" t="s">
        <v>67</v>
      </c>
      <c r="C30">
        <v>168</v>
      </c>
      <c r="D30">
        <v>30</v>
      </c>
      <c r="E30">
        <v>1</v>
      </c>
      <c r="F30">
        <v>20</v>
      </c>
      <c r="G30">
        <v>105</v>
      </c>
      <c r="H30">
        <v>90</v>
      </c>
      <c r="I30">
        <v>0</v>
      </c>
      <c r="J30">
        <v>41</v>
      </c>
      <c r="K30">
        <v>85</v>
      </c>
      <c r="L30">
        <v>0.312</v>
      </c>
      <c r="M30">
        <v>0.35699999999999998</v>
      </c>
      <c r="N30">
        <v>0.48299999999999998</v>
      </c>
      <c r="O30">
        <v>0.84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"/>
  <sheetViews>
    <sheetView zoomScale="70" zoomScaleNormal="70" workbookViewId="0">
      <selection activeCell="Q16" sqref="Q16:Q25"/>
    </sheetView>
  </sheetViews>
  <sheetFormatPr defaultRowHeight="17.399999999999999"/>
  <cols>
    <col min="2" max="2" width="15.19921875" bestFit="1" customWidth="1"/>
  </cols>
  <sheetData>
    <row r="1" spans="1:17">
      <c r="B1" t="s">
        <v>43</v>
      </c>
      <c r="C1" s="84">
        <f>AVERAGE(C8:C47)</f>
        <v>150.125</v>
      </c>
      <c r="D1" s="84">
        <f t="shared" ref="D1:O1" si="0">AVERAGE(D8:D47)</f>
        <v>26.475000000000001</v>
      </c>
      <c r="E1" s="84">
        <f t="shared" si="0"/>
        <v>2.5</v>
      </c>
      <c r="F1" s="84">
        <f t="shared" si="0"/>
        <v>18.574999999999999</v>
      </c>
      <c r="G1" s="84">
        <f t="shared" si="0"/>
        <v>81.875</v>
      </c>
      <c r="H1" s="84">
        <f t="shared" si="0"/>
        <v>81.45</v>
      </c>
      <c r="I1" s="84">
        <f t="shared" si="0"/>
        <v>7.3</v>
      </c>
      <c r="J1" s="84">
        <f t="shared" si="0"/>
        <v>56.05</v>
      </c>
      <c r="K1" s="84">
        <f t="shared" si="0"/>
        <v>84.4</v>
      </c>
      <c r="L1" s="84">
        <f t="shared" si="0"/>
        <v>0.31690000000000007</v>
      </c>
      <c r="M1" s="84">
        <f t="shared" si="0"/>
        <v>0.38482499999999992</v>
      </c>
      <c r="N1" s="84">
        <f t="shared" si="0"/>
        <v>0.50022499999999992</v>
      </c>
      <c r="O1" s="84">
        <f t="shared" si="0"/>
        <v>0.88512500000000016</v>
      </c>
    </row>
    <row r="2" spans="1:17">
      <c r="B2" t="s">
        <v>44</v>
      </c>
      <c r="C2" s="84">
        <f>_xlfn.STDEV.S(C8:C47)</f>
        <v>22.20093264384202</v>
      </c>
      <c r="D2" s="84">
        <f t="shared" ref="D2:O2" si="1">_xlfn.STDEV.S(D8:D47)</f>
        <v>8.2586008003466986</v>
      </c>
      <c r="E2" s="84">
        <f t="shared" si="1"/>
        <v>2.6794565082283346</v>
      </c>
      <c r="F2" s="84">
        <f t="shared" si="1"/>
        <v>10.722340683991986</v>
      </c>
      <c r="G2" s="84">
        <f t="shared" si="1"/>
        <v>25.049886124926694</v>
      </c>
      <c r="H2" s="84">
        <f t="shared" si="1"/>
        <v>18.065337258307991</v>
      </c>
      <c r="I2" s="84">
        <f t="shared" si="1"/>
        <v>7.4565407529228995</v>
      </c>
      <c r="J2" s="84">
        <f t="shared" si="1"/>
        <v>20.326753874559582</v>
      </c>
      <c r="K2" s="84">
        <f t="shared" si="1"/>
        <v>23.195711363116782</v>
      </c>
      <c r="L2" s="84">
        <f t="shared" si="1"/>
        <v>2.2071910446747271E-2</v>
      </c>
      <c r="M2" s="84">
        <f t="shared" si="1"/>
        <v>3.0103145333575346E-2</v>
      </c>
      <c r="N2" s="84">
        <f t="shared" si="1"/>
        <v>7.1723646102638386E-2</v>
      </c>
      <c r="O2" s="84">
        <f t="shared" si="1"/>
        <v>9.1514378161335827E-2</v>
      </c>
      <c r="Q2" t="s">
        <v>43</v>
      </c>
    </row>
    <row r="3" spans="1:17">
      <c r="B3" t="s">
        <v>45</v>
      </c>
      <c r="C3" s="89">
        <f>COUNTIFS(C8:C47,"&lt;="&amp;C1+1*C2,C8:C47,"&gt;="&amp;C1-1*C2)/40*100</f>
        <v>52.5</v>
      </c>
      <c r="D3" s="89">
        <f t="shared" ref="D3:O3" si="2">COUNTIFS(D8:D47,"&lt;="&amp;D1+1*D2,D8:D47,"&gt;="&amp;D1-1*D2)/40*100</f>
        <v>60</v>
      </c>
      <c r="E3" s="89">
        <f t="shared" si="2"/>
        <v>85</v>
      </c>
      <c r="F3" s="89">
        <f t="shared" si="2"/>
        <v>67.5</v>
      </c>
      <c r="G3" s="89">
        <f t="shared" si="2"/>
        <v>60</v>
      </c>
      <c r="H3" s="89">
        <f t="shared" si="2"/>
        <v>67.5</v>
      </c>
      <c r="I3" s="89">
        <f t="shared" si="2"/>
        <v>82.5</v>
      </c>
      <c r="J3" s="89">
        <f t="shared" si="2"/>
        <v>65</v>
      </c>
      <c r="K3" s="89">
        <f t="shared" si="2"/>
        <v>65</v>
      </c>
      <c r="L3" s="89">
        <f t="shared" si="2"/>
        <v>65</v>
      </c>
      <c r="M3" s="89">
        <f t="shared" si="2"/>
        <v>67.5</v>
      </c>
      <c r="N3" s="89">
        <f t="shared" si="2"/>
        <v>72.5</v>
      </c>
      <c r="O3" s="89">
        <f t="shared" si="2"/>
        <v>75</v>
      </c>
      <c r="Q3" s="93">
        <f>AVERAGE(C3:O3)</f>
        <v>68.07692307692308</v>
      </c>
    </row>
    <row r="4" spans="1:17">
      <c r="B4" t="s">
        <v>46</v>
      </c>
      <c r="C4" s="89">
        <f>COUNTIFS(C8:C47,"&lt;="&amp;C1+2*C2,C8:C47,"&gt;="&amp;C1-2*C2)/40*100</f>
        <v>100</v>
      </c>
      <c r="D4" s="89">
        <f t="shared" ref="D4:O4" si="3">COUNTIFS(D8:D47,"&lt;="&amp;D1+2*D2,D8:D47,"&gt;="&amp;D1-2*D2)/40*100</f>
        <v>97.5</v>
      </c>
      <c r="E4" s="89">
        <f t="shared" si="3"/>
        <v>87.5</v>
      </c>
      <c r="F4" s="89">
        <f t="shared" si="3"/>
        <v>97.5</v>
      </c>
      <c r="G4" s="89">
        <f t="shared" si="3"/>
        <v>97.5</v>
      </c>
      <c r="H4" s="89">
        <f t="shared" si="3"/>
        <v>95</v>
      </c>
      <c r="I4" s="89">
        <f t="shared" si="3"/>
        <v>95</v>
      </c>
      <c r="J4" s="89">
        <f t="shared" si="3"/>
        <v>97.5</v>
      </c>
      <c r="K4" s="89">
        <f t="shared" si="3"/>
        <v>95</v>
      </c>
      <c r="L4" s="89">
        <f t="shared" si="3"/>
        <v>92.5</v>
      </c>
      <c r="M4" s="89">
        <f t="shared" si="3"/>
        <v>97.5</v>
      </c>
      <c r="N4" s="89">
        <f t="shared" si="3"/>
        <v>90</v>
      </c>
      <c r="O4" s="89">
        <f t="shared" si="3"/>
        <v>92.5</v>
      </c>
      <c r="Q4" s="93">
        <f>AVERAGE(C4:O4)</f>
        <v>95</v>
      </c>
    </row>
    <row r="5" spans="1:17">
      <c r="B5" t="s">
        <v>47</v>
      </c>
      <c r="C5" s="89">
        <f>COUNTIFS(C8:C47,"&lt;="&amp;C1+3*C2,C8:C47,"&gt;="&amp;C1-3*C2)/40*100</f>
        <v>100</v>
      </c>
      <c r="D5" s="89">
        <f t="shared" ref="D5:O5" si="4">COUNTIFS(D8:D47,"&lt;="&amp;D1+3*D2,D8:D47,"&gt;="&amp;D1-3*D2)/40*100</f>
        <v>100</v>
      </c>
      <c r="E5" s="89">
        <f t="shared" si="4"/>
        <v>100</v>
      </c>
      <c r="F5" s="89">
        <f t="shared" si="4"/>
        <v>100</v>
      </c>
      <c r="G5" s="89">
        <f t="shared" si="4"/>
        <v>100</v>
      </c>
      <c r="H5" s="89">
        <f t="shared" si="4"/>
        <v>100</v>
      </c>
      <c r="I5" s="89">
        <f t="shared" si="4"/>
        <v>97.5</v>
      </c>
      <c r="J5" s="89">
        <f t="shared" si="4"/>
        <v>100</v>
      </c>
      <c r="K5" s="89">
        <f t="shared" si="4"/>
        <v>100</v>
      </c>
      <c r="L5" s="89">
        <f t="shared" si="4"/>
        <v>100</v>
      </c>
      <c r="M5" s="89">
        <f t="shared" si="4"/>
        <v>100</v>
      </c>
      <c r="N5" s="89">
        <f t="shared" si="4"/>
        <v>100</v>
      </c>
      <c r="O5" s="89">
        <f t="shared" si="4"/>
        <v>100</v>
      </c>
      <c r="Q5" s="93">
        <f>AVERAGE(C5:O5)</f>
        <v>99.807692307692307</v>
      </c>
    </row>
    <row r="6" spans="1:17">
      <c r="I6">
        <f>I1-3*I2</f>
        <v>-15.0696222587687</v>
      </c>
      <c r="J6">
        <f>I1+3*I2</f>
        <v>29.669622258768701</v>
      </c>
    </row>
    <row r="7" spans="1:17">
      <c r="A7" t="s">
        <v>7</v>
      </c>
      <c r="B7" t="s">
        <v>8</v>
      </c>
      <c r="C7" t="s">
        <v>11</v>
      </c>
      <c r="D7" t="s">
        <v>12</v>
      </c>
      <c r="E7" t="s">
        <v>13</v>
      </c>
      <c r="F7" t="s">
        <v>14</v>
      </c>
      <c r="G7" t="s">
        <v>15</v>
      </c>
      <c r="H7" t="s">
        <v>16</v>
      </c>
      <c r="I7" t="s">
        <v>17</v>
      </c>
      <c r="J7" t="s">
        <v>18</v>
      </c>
      <c r="K7" t="s">
        <v>19</v>
      </c>
      <c r="L7" t="s">
        <v>20</v>
      </c>
      <c r="M7" t="s">
        <v>21</v>
      </c>
      <c r="N7" t="s">
        <v>22</v>
      </c>
      <c r="O7" t="s">
        <v>23</v>
      </c>
    </row>
    <row r="8" spans="1:17">
      <c r="A8">
        <v>1</v>
      </c>
      <c r="B8" t="s">
        <v>48</v>
      </c>
      <c r="C8">
        <v>176</v>
      </c>
      <c r="D8">
        <v>34</v>
      </c>
      <c r="E8">
        <v>1</v>
      </c>
      <c r="F8">
        <v>5</v>
      </c>
      <c r="G8">
        <v>64</v>
      </c>
      <c r="H8">
        <v>84</v>
      </c>
      <c r="I8">
        <v>4</v>
      </c>
      <c r="J8">
        <v>44</v>
      </c>
      <c r="K8">
        <v>40</v>
      </c>
      <c r="L8">
        <v>0.37</v>
      </c>
      <c r="M8">
        <v>0.42</v>
      </c>
      <c r="N8">
        <v>0.47699999999999998</v>
      </c>
      <c r="O8">
        <v>0.89700000000000002</v>
      </c>
    </row>
    <row r="9" spans="1:17">
      <c r="A9">
        <v>2</v>
      </c>
      <c r="B9" t="s">
        <v>49</v>
      </c>
      <c r="C9">
        <v>177</v>
      </c>
      <c r="D9">
        <v>40</v>
      </c>
      <c r="E9">
        <v>2</v>
      </c>
      <c r="F9">
        <v>20</v>
      </c>
      <c r="G9">
        <v>78</v>
      </c>
      <c r="H9">
        <v>91</v>
      </c>
      <c r="I9">
        <v>20</v>
      </c>
      <c r="J9">
        <v>51</v>
      </c>
      <c r="K9">
        <v>64</v>
      </c>
      <c r="L9">
        <v>0.36599999999999999</v>
      </c>
      <c r="M9">
        <v>0.42399999999999999</v>
      </c>
      <c r="N9">
        <v>0.58199999999999996</v>
      </c>
      <c r="O9">
        <v>1.006</v>
      </c>
    </row>
    <row r="10" spans="1:17">
      <c r="A10">
        <v>3</v>
      </c>
      <c r="B10" t="s">
        <v>50</v>
      </c>
      <c r="C10">
        <v>141</v>
      </c>
      <c r="D10">
        <v>25</v>
      </c>
      <c r="E10">
        <v>4</v>
      </c>
      <c r="F10">
        <v>3</v>
      </c>
      <c r="G10">
        <v>47</v>
      </c>
      <c r="H10">
        <v>84</v>
      </c>
      <c r="I10">
        <v>11</v>
      </c>
      <c r="J10">
        <v>57</v>
      </c>
      <c r="K10">
        <v>51</v>
      </c>
      <c r="L10">
        <v>0.36299999999999999</v>
      </c>
      <c r="M10">
        <v>0.441</v>
      </c>
      <c r="N10">
        <v>0.47199999999999998</v>
      </c>
      <c r="O10">
        <v>0.91300000000000003</v>
      </c>
    </row>
    <row r="11" spans="1:17">
      <c r="A11">
        <v>4</v>
      </c>
      <c r="B11" t="s">
        <v>51</v>
      </c>
      <c r="C11">
        <v>173</v>
      </c>
      <c r="D11">
        <v>42</v>
      </c>
      <c r="E11">
        <v>2</v>
      </c>
      <c r="F11">
        <v>24</v>
      </c>
      <c r="G11">
        <v>99</v>
      </c>
      <c r="H11">
        <v>103</v>
      </c>
      <c r="I11">
        <v>17</v>
      </c>
      <c r="J11">
        <v>60</v>
      </c>
      <c r="K11">
        <v>116</v>
      </c>
      <c r="L11">
        <v>0.34699999999999998</v>
      </c>
      <c r="M11">
        <v>0.41499999999999998</v>
      </c>
      <c r="N11">
        <v>0.58399999999999996</v>
      </c>
      <c r="O11">
        <v>1</v>
      </c>
    </row>
    <row r="12" spans="1:17">
      <c r="A12">
        <v>5</v>
      </c>
      <c r="B12" t="s">
        <v>52</v>
      </c>
      <c r="C12">
        <v>175</v>
      </c>
      <c r="D12">
        <v>23</v>
      </c>
      <c r="E12">
        <v>2</v>
      </c>
      <c r="F12">
        <v>14</v>
      </c>
      <c r="G12">
        <v>90</v>
      </c>
      <c r="H12">
        <v>83</v>
      </c>
      <c r="I12">
        <v>4</v>
      </c>
      <c r="J12">
        <v>78</v>
      </c>
      <c r="K12">
        <v>88</v>
      </c>
      <c r="L12">
        <v>0.34399999999999997</v>
      </c>
      <c r="M12">
        <v>0.42499999999999999</v>
      </c>
      <c r="N12">
        <v>0.47899999999999998</v>
      </c>
      <c r="O12">
        <v>0.90400000000000003</v>
      </c>
    </row>
    <row r="13" spans="1:17">
      <c r="A13">
        <v>6</v>
      </c>
      <c r="B13" t="s">
        <v>53</v>
      </c>
      <c r="C13">
        <v>176</v>
      </c>
      <c r="D13">
        <v>36</v>
      </c>
      <c r="E13">
        <v>3</v>
      </c>
      <c r="F13">
        <v>26</v>
      </c>
      <c r="G13">
        <v>120</v>
      </c>
      <c r="H13">
        <v>98</v>
      </c>
      <c r="I13">
        <v>0</v>
      </c>
      <c r="J13">
        <v>107</v>
      </c>
      <c r="K13">
        <v>82</v>
      </c>
      <c r="L13">
        <v>0.34200000000000003</v>
      </c>
      <c r="M13">
        <v>0.45</v>
      </c>
      <c r="N13">
        <v>0.57599999999999996</v>
      </c>
      <c r="O13">
        <v>1.026</v>
      </c>
    </row>
    <row r="14" spans="1:17">
      <c r="A14">
        <v>7</v>
      </c>
      <c r="B14" t="s">
        <v>54</v>
      </c>
      <c r="C14">
        <v>185</v>
      </c>
      <c r="D14">
        <v>34</v>
      </c>
      <c r="E14">
        <v>2</v>
      </c>
      <c r="F14">
        <v>35</v>
      </c>
      <c r="G14">
        <v>115</v>
      </c>
      <c r="H14">
        <v>110</v>
      </c>
      <c r="I14">
        <v>4</v>
      </c>
      <c r="J14">
        <v>88</v>
      </c>
      <c r="K14">
        <v>123</v>
      </c>
      <c r="L14">
        <v>0.34</v>
      </c>
      <c r="M14">
        <v>0.42899999999999999</v>
      </c>
      <c r="N14">
        <v>0.60299999999999998</v>
      </c>
      <c r="O14">
        <v>1.032</v>
      </c>
    </row>
    <row r="15" spans="1:17">
      <c r="A15">
        <v>8</v>
      </c>
      <c r="B15" t="s">
        <v>55</v>
      </c>
      <c r="C15">
        <v>151</v>
      </c>
      <c r="D15">
        <v>30</v>
      </c>
      <c r="E15">
        <v>1</v>
      </c>
      <c r="F15">
        <v>37</v>
      </c>
      <c r="G15">
        <v>111</v>
      </c>
      <c r="H15">
        <v>100</v>
      </c>
      <c r="I15">
        <v>10</v>
      </c>
      <c r="J15">
        <v>60</v>
      </c>
      <c r="K15">
        <v>61</v>
      </c>
      <c r="L15">
        <v>0.33900000000000002</v>
      </c>
      <c r="M15">
        <v>0.41399999999999998</v>
      </c>
      <c r="N15">
        <v>0.66100000000000003</v>
      </c>
      <c r="O15">
        <v>1.0740000000000001</v>
      </c>
    </row>
    <row r="16" spans="1:17">
      <c r="A16">
        <v>9</v>
      </c>
      <c r="B16" t="s">
        <v>56</v>
      </c>
      <c r="C16">
        <v>193</v>
      </c>
      <c r="D16">
        <v>35</v>
      </c>
      <c r="E16">
        <v>4</v>
      </c>
      <c r="F16">
        <v>20</v>
      </c>
      <c r="G16">
        <v>80</v>
      </c>
      <c r="H16">
        <v>113</v>
      </c>
      <c r="I16">
        <v>25</v>
      </c>
      <c r="J16">
        <v>87</v>
      </c>
      <c r="K16">
        <v>96</v>
      </c>
      <c r="L16">
        <v>0.33500000000000002</v>
      </c>
      <c r="M16">
        <v>0.42</v>
      </c>
      <c r="N16">
        <v>0.51400000000000001</v>
      </c>
      <c r="O16">
        <v>0.93400000000000005</v>
      </c>
    </row>
    <row r="17" spans="1:15">
      <c r="A17">
        <v>10</v>
      </c>
      <c r="B17" t="s">
        <v>57</v>
      </c>
      <c r="C17">
        <v>179</v>
      </c>
      <c r="D17">
        <v>28</v>
      </c>
      <c r="E17">
        <v>3</v>
      </c>
      <c r="F17">
        <v>6</v>
      </c>
      <c r="G17">
        <v>76</v>
      </c>
      <c r="H17">
        <v>87</v>
      </c>
      <c r="I17">
        <v>15</v>
      </c>
      <c r="J17">
        <v>68</v>
      </c>
      <c r="K17">
        <v>68</v>
      </c>
      <c r="L17">
        <v>0.33200000000000002</v>
      </c>
      <c r="M17">
        <v>0.40300000000000002</v>
      </c>
      <c r="N17">
        <v>0.42899999999999999</v>
      </c>
      <c r="O17">
        <v>0.83199999999999996</v>
      </c>
    </row>
    <row r="18" spans="1:15">
      <c r="A18">
        <v>11</v>
      </c>
      <c r="B18" t="s">
        <v>58</v>
      </c>
      <c r="C18">
        <v>154</v>
      </c>
      <c r="D18">
        <v>24</v>
      </c>
      <c r="E18">
        <v>4</v>
      </c>
      <c r="F18">
        <v>9</v>
      </c>
      <c r="G18">
        <v>63</v>
      </c>
      <c r="H18">
        <v>79</v>
      </c>
      <c r="I18">
        <v>8</v>
      </c>
      <c r="J18">
        <v>31</v>
      </c>
      <c r="K18">
        <v>57</v>
      </c>
      <c r="L18">
        <v>0.33200000000000002</v>
      </c>
      <c r="M18">
        <v>0.371</v>
      </c>
      <c r="N18">
        <v>0.45900000000000002</v>
      </c>
      <c r="O18">
        <v>0.83099999999999996</v>
      </c>
    </row>
    <row r="19" spans="1:15">
      <c r="A19">
        <v>12</v>
      </c>
      <c r="B19" t="s">
        <v>59</v>
      </c>
      <c r="C19">
        <v>143</v>
      </c>
      <c r="D19">
        <v>26</v>
      </c>
      <c r="E19">
        <v>0</v>
      </c>
      <c r="F19">
        <v>13</v>
      </c>
      <c r="G19">
        <v>75</v>
      </c>
      <c r="H19">
        <v>71</v>
      </c>
      <c r="I19">
        <v>2</v>
      </c>
      <c r="J19">
        <v>24</v>
      </c>
      <c r="K19">
        <v>88</v>
      </c>
      <c r="L19">
        <v>0.32700000000000001</v>
      </c>
      <c r="M19">
        <v>0.35599999999999998</v>
      </c>
      <c r="N19">
        <v>0.47599999999999998</v>
      </c>
      <c r="O19">
        <v>0.83199999999999996</v>
      </c>
    </row>
    <row r="20" spans="1:15">
      <c r="A20">
        <v>13</v>
      </c>
      <c r="B20" t="s">
        <v>60</v>
      </c>
      <c r="C20">
        <v>179</v>
      </c>
      <c r="D20">
        <v>29</v>
      </c>
      <c r="E20">
        <v>8</v>
      </c>
      <c r="F20">
        <v>2</v>
      </c>
      <c r="G20">
        <v>47</v>
      </c>
      <c r="H20">
        <v>111</v>
      </c>
      <c r="I20">
        <v>12</v>
      </c>
      <c r="J20">
        <v>66</v>
      </c>
      <c r="K20">
        <v>67</v>
      </c>
      <c r="L20">
        <v>0.32400000000000001</v>
      </c>
      <c r="M20">
        <v>0.39500000000000002</v>
      </c>
      <c r="N20">
        <v>0.41699999999999998</v>
      </c>
      <c r="O20">
        <v>0.81200000000000006</v>
      </c>
    </row>
    <row r="21" spans="1:15">
      <c r="A21">
        <v>14</v>
      </c>
      <c r="B21" t="s">
        <v>61</v>
      </c>
      <c r="C21">
        <v>146</v>
      </c>
      <c r="D21">
        <v>27</v>
      </c>
      <c r="E21">
        <v>1</v>
      </c>
      <c r="F21">
        <v>18</v>
      </c>
      <c r="G21">
        <v>69</v>
      </c>
      <c r="H21">
        <v>76</v>
      </c>
      <c r="I21">
        <v>2</v>
      </c>
      <c r="J21">
        <v>37</v>
      </c>
      <c r="K21">
        <v>70</v>
      </c>
      <c r="L21">
        <v>0.32100000000000001</v>
      </c>
      <c r="M21">
        <v>0.37</v>
      </c>
      <c r="N21">
        <v>0.503</v>
      </c>
      <c r="O21">
        <v>0.874</v>
      </c>
    </row>
    <row r="22" spans="1:15">
      <c r="A22">
        <v>15</v>
      </c>
      <c r="B22" t="s">
        <v>62</v>
      </c>
      <c r="C22">
        <v>173</v>
      </c>
      <c r="D22">
        <v>13</v>
      </c>
      <c r="E22">
        <v>0</v>
      </c>
      <c r="F22">
        <v>34</v>
      </c>
      <c r="G22">
        <v>111</v>
      </c>
      <c r="H22">
        <v>73</v>
      </c>
      <c r="I22">
        <v>1</v>
      </c>
      <c r="J22">
        <v>65</v>
      </c>
      <c r="K22">
        <v>84</v>
      </c>
      <c r="L22">
        <v>0.32</v>
      </c>
      <c r="M22">
        <v>0.39100000000000001</v>
      </c>
      <c r="N22">
        <v>0.53300000000000003</v>
      </c>
      <c r="O22">
        <v>0.92500000000000004</v>
      </c>
    </row>
    <row r="23" spans="1:15">
      <c r="A23">
        <v>16</v>
      </c>
      <c r="B23" t="s">
        <v>63</v>
      </c>
      <c r="C23">
        <v>178</v>
      </c>
      <c r="D23">
        <v>26</v>
      </c>
      <c r="E23">
        <v>8</v>
      </c>
      <c r="F23">
        <v>27</v>
      </c>
      <c r="G23">
        <v>111</v>
      </c>
      <c r="H23">
        <v>118</v>
      </c>
      <c r="I23">
        <v>32</v>
      </c>
      <c r="J23">
        <v>52</v>
      </c>
      <c r="K23">
        <v>112</v>
      </c>
      <c r="L23">
        <v>0.32</v>
      </c>
      <c r="M23">
        <v>0.372</v>
      </c>
      <c r="N23">
        <v>0.54</v>
      </c>
      <c r="O23">
        <v>0.91300000000000003</v>
      </c>
    </row>
    <row r="24" spans="1:15">
      <c r="A24">
        <v>17</v>
      </c>
      <c r="B24" t="s">
        <v>64</v>
      </c>
      <c r="C24">
        <v>136</v>
      </c>
      <c r="D24">
        <v>18</v>
      </c>
      <c r="E24">
        <v>1</v>
      </c>
      <c r="F24">
        <v>46</v>
      </c>
      <c r="G24">
        <v>113</v>
      </c>
      <c r="H24">
        <v>89</v>
      </c>
      <c r="I24">
        <v>1</v>
      </c>
      <c r="J24">
        <v>89</v>
      </c>
      <c r="K24">
        <v>107</v>
      </c>
      <c r="L24">
        <v>0.316</v>
      </c>
      <c r="M24">
        <v>0.42699999999999999</v>
      </c>
      <c r="N24">
        <v>0.68400000000000005</v>
      </c>
      <c r="O24">
        <v>1.111</v>
      </c>
    </row>
    <row r="25" spans="1:15">
      <c r="A25">
        <v>18</v>
      </c>
      <c r="B25" t="s">
        <v>65</v>
      </c>
      <c r="C25">
        <v>154</v>
      </c>
      <c r="D25">
        <v>29</v>
      </c>
      <c r="E25">
        <v>2</v>
      </c>
      <c r="F25">
        <v>21</v>
      </c>
      <c r="G25">
        <v>93</v>
      </c>
      <c r="H25">
        <v>95</v>
      </c>
      <c r="I25">
        <v>7</v>
      </c>
      <c r="J25">
        <v>47</v>
      </c>
      <c r="K25">
        <v>70</v>
      </c>
      <c r="L25">
        <v>0.316</v>
      </c>
      <c r="M25">
        <v>0.373</v>
      </c>
      <c r="N25">
        <v>0.51300000000000001</v>
      </c>
      <c r="O25">
        <v>0.88600000000000001</v>
      </c>
    </row>
    <row r="26" spans="1:15">
      <c r="A26">
        <v>19</v>
      </c>
      <c r="B26" t="s">
        <v>66</v>
      </c>
      <c r="C26">
        <v>162</v>
      </c>
      <c r="D26">
        <v>38</v>
      </c>
      <c r="E26">
        <v>0</v>
      </c>
      <c r="F26">
        <v>31</v>
      </c>
      <c r="G26">
        <v>124</v>
      </c>
      <c r="H26">
        <v>90</v>
      </c>
      <c r="I26">
        <v>2</v>
      </c>
      <c r="J26">
        <v>72</v>
      </c>
      <c r="K26">
        <v>107</v>
      </c>
      <c r="L26">
        <v>0.315</v>
      </c>
      <c r="M26">
        <v>0.39600000000000002</v>
      </c>
      <c r="N26">
        <v>0.56899999999999995</v>
      </c>
      <c r="O26">
        <v>0.96499999999999997</v>
      </c>
    </row>
    <row r="27" spans="1:15">
      <c r="A27">
        <v>20</v>
      </c>
      <c r="B27" t="s">
        <v>67</v>
      </c>
      <c r="C27">
        <v>168</v>
      </c>
      <c r="D27">
        <v>30</v>
      </c>
      <c r="E27">
        <v>1</v>
      </c>
      <c r="F27">
        <v>20</v>
      </c>
      <c r="G27">
        <v>105</v>
      </c>
      <c r="H27">
        <v>90</v>
      </c>
      <c r="I27">
        <v>0</v>
      </c>
      <c r="J27">
        <v>41</v>
      </c>
      <c r="K27">
        <v>85</v>
      </c>
      <c r="L27">
        <v>0.312</v>
      </c>
      <c r="M27">
        <v>0.35699999999999998</v>
      </c>
      <c r="N27">
        <v>0.48299999999999998</v>
      </c>
      <c r="O27">
        <v>0.84</v>
      </c>
    </row>
    <row r="28" spans="1:15">
      <c r="A28">
        <v>21</v>
      </c>
      <c r="B28" t="s">
        <v>68</v>
      </c>
      <c r="C28">
        <v>148</v>
      </c>
      <c r="D28">
        <v>25</v>
      </c>
      <c r="E28">
        <v>3</v>
      </c>
      <c r="F28">
        <v>17</v>
      </c>
      <c r="G28">
        <v>90</v>
      </c>
      <c r="H28">
        <v>64</v>
      </c>
      <c r="I28">
        <v>9</v>
      </c>
      <c r="J28">
        <v>41</v>
      </c>
      <c r="K28">
        <v>81</v>
      </c>
      <c r="L28">
        <v>0.312</v>
      </c>
      <c r="M28">
        <v>0.36099999999999999</v>
      </c>
      <c r="N28">
        <v>0.48499999999999999</v>
      </c>
      <c r="O28">
        <v>0.84599999999999997</v>
      </c>
    </row>
    <row r="29" spans="1:15">
      <c r="A29">
        <v>22</v>
      </c>
      <c r="B29" t="s">
        <v>69</v>
      </c>
      <c r="C29">
        <v>133</v>
      </c>
      <c r="D29">
        <v>24</v>
      </c>
      <c r="E29">
        <v>8</v>
      </c>
      <c r="F29">
        <v>8</v>
      </c>
      <c r="G29">
        <v>54</v>
      </c>
      <c r="H29">
        <v>70</v>
      </c>
      <c r="I29">
        <v>16</v>
      </c>
      <c r="J29">
        <v>25</v>
      </c>
      <c r="K29">
        <v>92</v>
      </c>
      <c r="L29">
        <v>0.312</v>
      </c>
      <c r="M29">
        <v>0.34899999999999998</v>
      </c>
      <c r="N29">
        <v>0.46200000000000002</v>
      </c>
      <c r="O29">
        <v>0.81100000000000005</v>
      </c>
    </row>
    <row r="30" spans="1:15">
      <c r="A30">
        <v>23</v>
      </c>
      <c r="B30" t="s">
        <v>70</v>
      </c>
      <c r="C30">
        <v>175</v>
      </c>
      <c r="D30">
        <v>39</v>
      </c>
      <c r="E30">
        <v>10</v>
      </c>
      <c r="F30">
        <v>21</v>
      </c>
      <c r="G30">
        <v>107</v>
      </c>
      <c r="H30">
        <v>108</v>
      </c>
      <c r="I30">
        <v>10</v>
      </c>
      <c r="J30">
        <v>73</v>
      </c>
      <c r="K30">
        <v>138</v>
      </c>
      <c r="L30">
        <v>0.31</v>
      </c>
      <c r="M30">
        <v>0.38300000000000001</v>
      </c>
      <c r="N30">
        <v>0.52700000000000002</v>
      </c>
      <c r="O30">
        <v>0.91</v>
      </c>
    </row>
    <row r="31" spans="1:15">
      <c r="A31">
        <v>24</v>
      </c>
      <c r="B31" t="s">
        <v>71</v>
      </c>
      <c r="C31">
        <v>136</v>
      </c>
      <c r="D31">
        <v>39</v>
      </c>
      <c r="E31">
        <v>2</v>
      </c>
      <c r="F31">
        <v>12</v>
      </c>
      <c r="G31">
        <v>70</v>
      </c>
      <c r="H31">
        <v>78</v>
      </c>
      <c r="I31">
        <v>9</v>
      </c>
      <c r="J31">
        <v>35</v>
      </c>
      <c r="K31">
        <v>59</v>
      </c>
      <c r="L31">
        <v>0.309</v>
      </c>
      <c r="M31">
        <v>0.35899999999999999</v>
      </c>
      <c r="N31">
        <v>0.48899999999999999</v>
      </c>
      <c r="O31">
        <v>0.84799999999999998</v>
      </c>
    </row>
    <row r="32" spans="1:15">
      <c r="A32">
        <v>25</v>
      </c>
      <c r="B32" t="s">
        <v>72</v>
      </c>
      <c r="C32">
        <v>126</v>
      </c>
      <c r="D32">
        <v>27</v>
      </c>
      <c r="E32">
        <v>0</v>
      </c>
      <c r="F32">
        <v>26</v>
      </c>
      <c r="G32">
        <v>89</v>
      </c>
      <c r="H32">
        <v>62</v>
      </c>
      <c r="I32">
        <v>1</v>
      </c>
      <c r="J32">
        <v>50</v>
      </c>
      <c r="K32">
        <v>80</v>
      </c>
      <c r="L32">
        <v>0.30599999999999999</v>
      </c>
      <c r="M32">
        <v>0.378</v>
      </c>
      <c r="N32">
        <v>0.56100000000000005</v>
      </c>
      <c r="O32">
        <v>0.93899999999999995</v>
      </c>
    </row>
    <row r="33" spans="1:15">
      <c r="A33">
        <v>26</v>
      </c>
      <c r="B33" t="s">
        <v>73</v>
      </c>
      <c r="C33">
        <v>136</v>
      </c>
      <c r="D33">
        <v>19</v>
      </c>
      <c r="E33">
        <v>0</v>
      </c>
      <c r="F33">
        <v>13</v>
      </c>
      <c r="G33">
        <v>68</v>
      </c>
      <c r="H33">
        <v>52</v>
      </c>
      <c r="I33">
        <v>0</v>
      </c>
      <c r="J33">
        <v>47</v>
      </c>
      <c r="K33">
        <v>59</v>
      </c>
      <c r="L33">
        <v>0.30599999999999999</v>
      </c>
      <c r="M33">
        <v>0.37</v>
      </c>
      <c r="N33">
        <v>0.436</v>
      </c>
      <c r="O33">
        <v>0.80600000000000005</v>
      </c>
    </row>
    <row r="34" spans="1:15">
      <c r="A34">
        <v>27</v>
      </c>
      <c r="B34" t="s">
        <v>74</v>
      </c>
      <c r="C34">
        <v>136</v>
      </c>
      <c r="D34">
        <v>21</v>
      </c>
      <c r="E34">
        <v>0</v>
      </c>
      <c r="F34">
        <v>14</v>
      </c>
      <c r="G34">
        <v>71</v>
      </c>
      <c r="H34">
        <v>73</v>
      </c>
      <c r="I34">
        <v>3</v>
      </c>
      <c r="J34">
        <v>66</v>
      </c>
      <c r="K34">
        <v>74</v>
      </c>
      <c r="L34">
        <v>0.30399999999999999</v>
      </c>
      <c r="M34">
        <v>0.38900000000000001</v>
      </c>
      <c r="N34">
        <v>0.44500000000000001</v>
      </c>
      <c r="O34">
        <v>0.83399999999999996</v>
      </c>
    </row>
    <row r="35" spans="1:15">
      <c r="A35">
        <v>28</v>
      </c>
      <c r="B35" t="s">
        <v>75</v>
      </c>
      <c r="C35">
        <v>125</v>
      </c>
      <c r="D35">
        <v>9</v>
      </c>
      <c r="E35">
        <v>3</v>
      </c>
      <c r="F35">
        <v>0</v>
      </c>
      <c r="G35">
        <v>24</v>
      </c>
      <c r="H35">
        <v>58</v>
      </c>
      <c r="I35">
        <v>12</v>
      </c>
      <c r="J35">
        <v>26</v>
      </c>
      <c r="K35">
        <v>57</v>
      </c>
      <c r="L35">
        <v>0.30299999999999999</v>
      </c>
      <c r="M35">
        <v>0.34399999999999997</v>
      </c>
      <c r="N35">
        <v>0.34</v>
      </c>
      <c r="O35">
        <v>0.68400000000000005</v>
      </c>
    </row>
    <row r="36" spans="1:15">
      <c r="A36">
        <v>29</v>
      </c>
      <c r="B36" t="s">
        <v>76</v>
      </c>
      <c r="C36">
        <v>128</v>
      </c>
      <c r="D36">
        <v>38</v>
      </c>
      <c r="E36">
        <v>0</v>
      </c>
      <c r="F36">
        <v>15</v>
      </c>
      <c r="G36">
        <v>57</v>
      </c>
      <c r="H36">
        <v>71</v>
      </c>
      <c r="I36">
        <v>10</v>
      </c>
      <c r="J36">
        <v>40</v>
      </c>
      <c r="K36">
        <v>100</v>
      </c>
      <c r="L36">
        <v>0.30299999999999999</v>
      </c>
      <c r="M36">
        <v>0.36099999999999999</v>
      </c>
      <c r="N36">
        <v>0.499</v>
      </c>
      <c r="O36">
        <v>0.85899999999999999</v>
      </c>
    </row>
    <row r="37" spans="1:15">
      <c r="A37">
        <v>30</v>
      </c>
      <c r="B37" t="s">
        <v>77</v>
      </c>
      <c r="C37">
        <v>159</v>
      </c>
      <c r="D37">
        <v>36</v>
      </c>
      <c r="E37">
        <v>3</v>
      </c>
      <c r="F37">
        <v>23</v>
      </c>
      <c r="G37">
        <v>114</v>
      </c>
      <c r="H37">
        <v>90</v>
      </c>
      <c r="I37">
        <v>16</v>
      </c>
      <c r="J37">
        <v>66</v>
      </c>
      <c r="K37">
        <v>65</v>
      </c>
      <c r="L37">
        <v>0.30199999999999999</v>
      </c>
      <c r="M37">
        <v>0.376</v>
      </c>
      <c r="N37">
        <v>0.51300000000000001</v>
      </c>
      <c r="O37">
        <v>0.88900000000000001</v>
      </c>
    </row>
    <row r="38" spans="1:15">
      <c r="A38">
        <v>31</v>
      </c>
      <c r="B38" t="s">
        <v>78</v>
      </c>
      <c r="C38">
        <v>120</v>
      </c>
      <c r="D38">
        <v>16</v>
      </c>
      <c r="E38">
        <v>6</v>
      </c>
      <c r="F38">
        <v>7</v>
      </c>
      <c r="G38">
        <v>57</v>
      </c>
      <c r="H38">
        <v>65</v>
      </c>
      <c r="I38">
        <v>3</v>
      </c>
      <c r="J38">
        <v>47</v>
      </c>
      <c r="K38">
        <v>58</v>
      </c>
      <c r="L38">
        <v>0.30099999999999999</v>
      </c>
      <c r="M38">
        <v>0.37</v>
      </c>
      <c r="N38">
        <v>0.42399999999999999</v>
      </c>
      <c r="O38">
        <v>0.79400000000000004</v>
      </c>
    </row>
    <row r="39" spans="1:15">
      <c r="A39">
        <v>32</v>
      </c>
      <c r="B39" t="s">
        <v>79</v>
      </c>
      <c r="C39">
        <v>138</v>
      </c>
      <c r="D39">
        <v>20</v>
      </c>
      <c r="E39">
        <v>3</v>
      </c>
      <c r="F39">
        <v>27</v>
      </c>
      <c r="G39">
        <v>94</v>
      </c>
      <c r="H39">
        <v>85</v>
      </c>
      <c r="I39">
        <v>1</v>
      </c>
      <c r="J39">
        <v>85</v>
      </c>
      <c r="K39">
        <v>105</v>
      </c>
      <c r="L39">
        <v>0.30099999999999999</v>
      </c>
      <c r="M39">
        <v>0.40500000000000003</v>
      </c>
      <c r="N39">
        <v>0.53400000000000003</v>
      </c>
      <c r="O39">
        <v>0.93799999999999994</v>
      </c>
    </row>
    <row r="40" spans="1:15">
      <c r="A40">
        <v>33</v>
      </c>
      <c r="B40" t="s">
        <v>80</v>
      </c>
      <c r="C40">
        <v>131</v>
      </c>
      <c r="D40">
        <v>24</v>
      </c>
      <c r="E40">
        <v>0</v>
      </c>
      <c r="F40">
        <v>35</v>
      </c>
      <c r="G40">
        <v>111</v>
      </c>
      <c r="H40">
        <v>91</v>
      </c>
      <c r="I40">
        <v>4</v>
      </c>
      <c r="J40">
        <v>77</v>
      </c>
      <c r="K40">
        <v>134</v>
      </c>
      <c r="L40">
        <v>0.3</v>
      </c>
      <c r="M40">
        <v>0.40200000000000002</v>
      </c>
      <c r="N40">
        <v>0.59499999999999997</v>
      </c>
      <c r="O40">
        <v>0.997</v>
      </c>
    </row>
    <row r="41" spans="1:15">
      <c r="A41">
        <v>34</v>
      </c>
      <c r="B41" t="s">
        <v>81</v>
      </c>
      <c r="C41">
        <v>152</v>
      </c>
      <c r="D41">
        <v>19</v>
      </c>
      <c r="E41">
        <v>0</v>
      </c>
      <c r="F41">
        <v>27</v>
      </c>
      <c r="G41">
        <v>90</v>
      </c>
      <c r="H41">
        <v>82</v>
      </c>
      <c r="I41">
        <v>2</v>
      </c>
      <c r="J41">
        <v>64</v>
      </c>
      <c r="K41">
        <v>114</v>
      </c>
      <c r="L41">
        <v>0.29599999999999999</v>
      </c>
      <c r="M41">
        <v>0.372</v>
      </c>
      <c r="N41">
        <v>0.49</v>
      </c>
      <c r="O41">
        <v>0.86199999999999999</v>
      </c>
    </row>
    <row r="42" spans="1:15">
      <c r="A42">
        <v>35</v>
      </c>
      <c r="B42" t="s">
        <v>82</v>
      </c>
      <c r="C42">
        <v>114</v>
      </c>
      <c r="D42">
        <v>17</v>
      </c>
      <c r="E42">
        <v>1</v>
      </c>
      <c r="F42">
        <v>2</v>
      </c>
      <c r="G42">
        <v>35</v>
      </c>
      <c r="H42">
        <v>49</v>
      </c>
      <c r="I42">
        <v>9</v>
      </c>
      <c r="J42">
        <v>50</v>
      </c>
      <c r="K42">
        <v>73</v>
      </c>
      <c r="L42">
        <v>0.29199999999999998</v>
      </c>
      <c r="M42">
        <v>0.372</v>
      </c>
      <c r="N42">
        <v>0.35599999999999998</v>
      </c>
      <c r="O42">
        <v>0.72799999999999998</v>
      </c>
    </row>
    <row r="43" spans="1:15">
      <c r="A43">
        <v>36</v>
      </c>
      <c r="B43" t="s">
        <v>83</v>
      </c>
      <c r="C43">
        <v>122</v>
      </c>
      <c r="D43">
        <v>24</v>
      </c>
      <c r="E43">
        <v>1</v>
      </c>
      <c r="F43">
        <v>19</v>
      </c>
      <c r="G43">
        <v>65</v>
      </c>
      <c r="H43">
        <v>69</v>
      </c>
      <c r="I43">
        <v>0</v>
      </c>
      <c r="J43">
        <v>24</v>
      </c>
      <c r="K43">
        <v>85</v>
      </c>
      <c r="L43">
        <v>0.29099999999999998</v>
      </c>
      <c r="M43">
        <v>0.32900000000000001</v>
      </c>
      <c r="N43">
        <v>0.48899999999999999</v>
      </c>
      <c r="O43">
        <v>0.81799999999999995</v>
      </c>
    </row>
    <row r="44" spans="1:15">
      <c r="A44">
        <v>37</v>
      </c>
      <c r="B44" t="s">
        <v>84</v>
      </c>
      <c r="C44">
        <v>119</v>
      </c>
      <c r="D44">
        <v>15</v>
      </c>
      <c r="E44">
        <v>0</v>
      </c>
      <c r="F44">
        <v>14</v>
      </c>
      <c r="G44">
        <v>82</v>
      </c>
      <c r="H44">
        <v>43</v>
      </c>
      <c r="I44">
        <v>0</v>
      </c>
      <c r="J44">
        <v>50</v>
      </c>
      <c r="K44">
        <v>89</v>
      </c>
      <c r="L44">
        <v>0.29099999999999998</v>
      </c>
      <c r="M44">
        <v>0.36399999999999999</v>
      </c>
      <c r="N44">
        <v>0.43</v>
      </c>
      <c r="O44">
        <v>0.79500000000000004</v>
      </c>
    </row>
    <row r="45" spans="1:15">
      <c r="A45">
        <v>38</v>
      </c>
      <c r="B45" t="s">
        <v>85</v>
      </c>
      <c r="C45">
        <v>135</v>
      </c>
      <c r="D45">
        <v>20</v>
      </c>
      <c r="E45">
        <v>2</v>
      </c>
      <c r="F45">
        <v>19</v>
      </c>
      <c r="G45">
        <v>86</v>
      </c>
      <c r="H45">
        <v>72</v>
      </c>
      <c r="I45">
        <v>3</v>
      </c>
      <c r="J45">
        <v>68</v>
      </c>
      <c r="K45">
        <v>90</v>
      </c>
      <c r="L45">
        <v>0.28599999999999998</v>
      </c>
      <c r="M45">
        <v>0.371</v>
      </c>
      <c r="N45">
        <v>0.45800000000000002</v>
      </c>
      <c r="O45">
        <v>0.82899999999999996</v>
      </c>
    </row>
    <row r="46" spans="1:15">
      <c r="A46">
        <v>39</v>
      </c>
      <c r="B46" t="s">
        <v>86</v>
      </c>
      <c r="C46">
        <v>130</v>
      </c>
      <c r="D46">
        <v>22</v>
      </c>
      <c r="E46">
        <v>1</v>
      </c>
      <c r="F46">
        <v>22</v>
      </c>
      <c r="G46">
        <v>68</v>
      </c>
      <c r="H46">
        <v>62</v>
      </c>
      <c r="I46">
        <v>0</v>
      </c>
      <c r="J46">
        <v>56</v>
      </c>
      <c r="K46">
        <v>104</v>
      </c>
      <c r="L46">
        <v>0.28499999999999998</v>
      </c>
      <c r="M46">
        <v>0.36099999999999999</v>
      </c>
      <c r="N46">
        <v>0.48199999999999998</v>
      </c>
      <c r="O46">
        <v>0.84399999999999997</v>
      </c>
    </row>
    <row r="47" spans="1:15">
      <c r="A47">
        <v>40</v>
      </c>
      <c r="B47" t="s">
        <v>87</v>
      </c>
      <c r="C47">
        <v>123</v>
      </c>
      <c r="D47">
        <v>18</v>
      </c>
      <c r="E47">
        <v>8</v>
      </c>
      <c r="F47">
        <v>11</v>
      </c>
      <c r="G47">
        <v>52</v>
      </c>
      <c r="H47">
        <v>69</v>
      </c>
      <c r="I47">
        <v>7</v>
      </c>
      <c r="J47">
        <v>28</v>
      </c>
      <c r="K47">
        <v>83</v>
      </c>
      <c r="L47">
        <v>0.28499999999999998</v>
      </c>
      <c r="M47">
        <v>0.32800000000000001</v>
      </c>
      <c r="N47">
        <v>0.44</v>
      </c>
      <c r="O47">
        <v>0.76700000000000002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0"/>
  <sheetViews>
    <sheetView zoomScale="85" zoomScaleNormal="85" workbookViewId="0">
      <selection activeCell="I17" sqref="I17"/>
    </sheetView>
  </sheetViews>
  <sheetFormatPr defaultRowHeight="17.399999999999999"/>
  <sheetData>
    <row r="1" spans="1:7">
      <c r="A1" s="96" t="s">
        <v>0</v>
      </c>
      <c r="B1" s="96"/>
      <c r="C1" s="96"/>
      <c r="D1" s="2"/>
      <c r="E1" s="96" t="s">
        <v>1</v>
      </c>
      <c r="F1" s="96"/>
      <c r="G1" s="96"/>
    </row>
    <row r="2" spans="1:7">
      <c r="A2" s="3" t="s">
        <v>2</v>
      </c>
      <c r="B2" s="3" t="s">
        <v>3</v>
      </c>
      <c r="C2" s="3" t="s">
        <v>4</v>
      </c>
      <c r="D2" s="2"/>
      <c r="E2" s="3" t="s">
        <v>2</v>
      </c>
      <c r="F2" s="87" t="s">
        <v>3</v>
      </c>
      <c r="G2" s="87" t="s">
        <v>4</v>
      </c>
    </row>
    <row r="3" spans="1:7">
      <c r="A3" s="3" t="s">
        <v>5</v>
      </c>
      <c r="B3" s="3">
        <v>178</v>
      </c>
      <c r="C3" s="3">
        <v>80</v>
      </c>
      <c r="D3" s="3"/>
      <c r="E3" s="3" t="s">
        <v>5</v>
      </c>
      <c r="F3" s="85">
        <f>(B3-B$23)/B$24</f>
        <v>-0.92720089114350912</v>
      </c>
      <c r="G3" s="85">
        <f t="shared" ref="G3:G22" si="0">(C3-C$23)/C$24</f>
        <v>-0.90907248138571384</v>
      </c>
    </row>
    <row r="4" spans="1:7">
      <c r="A4" s="3" t="s">
        <v>6</v>
      </c>
      <c r="B4" s="3">
        <v>184</v>
      </c>
      <c r="C4" s="3">
        <v>80</v>
      </c>
      <c r="D4" s="3"/>
      <c r="E4" s="3" t="s">
        <v>6</v>
      </c>
      <c r="F4" s="85">
        <f t="shared" ref="F4:F22" si="1">(B4-B$23)/B$24</f>
        <v>0.23180022278587456</v>
      </c>
      <c r="G4" s="85">
        <f t="shared" si="0"/>
        <v>-0.90907248138571384</v>
      </c>
    </row>
    <row r="5" spans="1:7">
      <c r="A5" s="3" t="s">
        <v>24</v>
      </c>
      <c r="B5" s="3">
        <v>188</v>
      </c>
      <c r="C5" s="3">
        <v>100</v>
      </c>
      <c r="D5" s="3"/>
      <c r="E5" s="3" t="s">
        <v>24</v>
      </c>
      <c r="F5" s="85">
        <f t="shared" si="1"/>
        <v>1.0044676320721304</v>
      </c>
      <c r="G5" s="85">
        <f t="shared" si="0"/>
        <v>0.76663716172159369</v>
      </c>
    </row>
    <row r="6" spans="1:7">
      <c r="A6" s="3" t="s">
        <v>26</v>
      </c>
      <c r="B6" s="3">
        <v>180</v>
      </c>
      <c r="C6" s="3">
        <v>90</v>
      </c>
      <c r="D6" s="3"/>
      <c r="E6" s="3" t="s">
        <v>26</v>
      </c>
      <c r="F6" s="85">
        <f t="shared" si="1"/>
        <v>-0.54086718650038124</v>
      </c>
      <c r="G6" s="85">
        <f t="shared" si="0"/>
        <v>-7.121765983206009E-2</v>
      </c>
    </row>
    <row r="7" spans="1:7">
      <c r="A7" s="3" t="s">
        <v>27</v>
      </c>
      <c r="B7" s="3">
        <v>185</v>
      </c>
      <c r="C7" s="3">
        <v>90</v>
      </c>
      <c r="D7" s="3"/>
      <c r="E7" s="3" t="s">
        <v>27</v>
      </c>
      <c r="F7" s="85">
        <f t="shared" si="1"/>
        <v>0.42496707510743847</v>
      </c>
      <c r="G7" s="85">
        <f t="shared" si="0"/>
        <v>-7.121765983206009E-2</v>
      </c>
    </row>
    <row r="8" spans="1:7">
      <c r="A8" s="3" t="s">
        <v>28</v>
      </c>
      <c r="B8" s="3">
        <v>178</v>
      </c>
      <c r="C8" s="3">
        <v>94</v>
      </c>
      <c r="D8" s="3"/>
      <c r="E8" s="3" t="s">
        <v>28</v>
      </c>
      <c r="F8" s="85">
        <f t="shared" si="1"/>
        <v>-0.92720089114350912</v>
      </c>
      <c r="G8" s="85">
        <f t="shared" si="0"/>
        <v>0.2639242687894014</v>
      </c>
    </row>
    <row r="9" spans="1:7">
      <c r="A9" s="3" t="s">
        <v>29</v>
      </c>
      <c r="B9" s="3">
        <v>183</v>
      </c>
      <c r="C9" s="3">
        <v>90</v>
      </c>
      <c r="D9" s="3"/>
      <c r="E9" s="3" t="s">
        <v>29</v>
      </c>
      <c r="F9" s="85">
        <f t="shared" si="1"/>
        <v>3.8633370464310597E-2</v>
      </c>
      <c r="G9" s="85">
        <f t="shared" si="0"/>
        <v>-7.121765983206009E-2</v>
      </c>
    </row>
    <row r="10" spans="1:7">
      <c r="A10" s="3" t="s">
        <v>30</v>
      </c>
      <c r="B10" s="3">
        <v>180</v>
      </c>
      <c r="C10" s="3">
        <v>100</v>
      </c>
      <c r="D10" s="3"/>
      <c r="E10" s="3" t="s">
        <v>30</v>
      </c>
      <c r="F10" s="85">
        <f t="shared" si="1"/>
        <v>-0.54086718650038124</v>
      </c>
      <c r="G10" s="85">
        <f t="shared" si="0"/>
        <v>0.76663716172159369</v>
      </c>
    </row>
    <row r="11" spans="1:7">
      <c r="A11" s="3" t="s">
        <v>31</v>
      </c>
      <c r="B11" s="3">
        <v>175</v>
      </c>
      <c r="C11" s="3">
        <v>85</v>
      </c>
      <c r="D11" s="3"/>
      <c r="E11" s="3" t="s">
        <v>31</v>
      </c>
      <c r="F11" s="85">
        <f t="shared" si="1"/>
        <v>-1.5067014481082011</v>
      </c>
      <c r="G11" s="85">
        <f t="shared" si="0"/>
        <v>-0.49014507060888696</v>
      </c>
    </row>
    <row r="12" spans="1:7">
      <c r="A12" s="3" t="s">
        <v>32</v>
      </c>
      <c r="B12" s="3">
        <v>176</v>
      </c>
      <c r="C12" s="3">
        <v>84</v>
      </c>
      <c r="D12" s="3"/>
      <c r="E12" s="3" t="s">
        <v>32</v>
      </c>
      <c r="F12" s="85">
        <f t="shared" si="1"/>
        <v>-1.3135345957866371</v>
      </c>
      <c r="G12" s="85">
        <f t="shared" si="0"/>
        <v>-0.57393055276425231</v>
      </c>
    </row>
    <row r="13" spans="1:7">
      <c r="A13" s="3" t="s">
        <v>33</v>
      </c>
      <c r="B13" s="3">
        <v>183</v>
      </c>
      <c r="C13" s="3">
        <v>80</v>
      </c>
      <c r="D13" s="3"/>
      <c r="E13" s="3" t="s">
        <v>33</v>
      </c>
      <c r="F13" s="85">
        <f t="shared" si="1"/>
        <v>3.8633370464310597E-2</v>
      </c>
      <c r="G13" s="85">
        <f t="shared" si="0"/>
        <v>-0.90907248138571384</v>
      </c>
    </row>
    <row r="14" spans="1:7">
      <c r="A14" s="3" t="s">
        <v>34</v>
      </c>
      <c r="B14" s="3">
        <v>183</v>
      </c>
      <c r="C14" s="3">
        <v>81</v>
      </c>
      <c r="D14" s="3"/>
      <c r="E14" s="3" t="s">
        <v>34</v>
      </c>
      <c r="F14" s="85">
        <f t="shared" si="1"/>
        <v>3.8633370464310597E-2</v>
      </c>
      <c r="G14" s="85">
        <f t="shared" si="0"/>
        <v>-0.82528699923034843</v>
      </c>
    </row>
    <row r="15" spans="1:7">
      <c r="A15" s="3" t="s">
        <v>35</v>
      </c>
      <c r="B15" s="3">
        <v>185</v>
      </c>
      <c r="C15" s="3">
        <v>78</v>
      </c>
      <c r="D15" s="3"/>
      <c r="E15" s="3" t="s">
        <v>35</v>
      </c>
      <c r="F15" s="85">
        <f t="shared" si="1"/>
        <v>0.42496707510743847</v>
      </c>
      <c r="G15" s="85">
        <f t="shared" si="0"/>
        <v>-1.0766434456964447</v>
      </c>
    </row>
    <row r="16" spans="1:7">
      <c r="A16" s="3" t="s">
        <v>36</v>
      </c>
      <c r="B16" s="3">
        <v>184</v>
      </c>
      <c r="C16" s="3">
        <v>91</v>
      </c>
      <c r="D16" s="3"/>
      <c r="E16" s="3" t="s">
        <v>36</v>
      </c>
      <c r="F16" s="85">
        <f t="shared" si="1"/>
        <v>0.23180022278587456</v>
      </c>
      <c r="G16" s="85">
        <f t="shared" si="0"/>
        <v>1.2567822323305283E-2</v>
      </c>
    </row>
    <row r="17" spans="1:7">
      <c r="A17" s="3" t="s">
        <v>37</v>
      </c>
      <c r="B17" s="3">
        <v>194</v>
      </c>
      <c r="C17" s="3">
        <v>130</v>
      </c>
      <c r="D17" s="3"/>
      <c r="E17" s="3" t="s">
        <v>37</v>
      </c>
      <c r="F17" s="85">
        <f t="shared" si="1"/>
        <v>2.1634687460015143</v>
      </c>
      <c r="G17" s="85">
        <f t="shared" si="0"/>
        <v>3.2802016263825546</v>
      </c>
    </row>
    <row r="18" spans="1:7">
      <c r="A18" s="3" t="s">
        <v>38</v>
      </c>
      <c r="B18" s="3">
        <v>190</v>
      </c>
      <c r="C18" s="3">
        <v>95</v>
      </c>
      <c r="D18" s="3"/>
      <c r="E18" s="3" t="s">
        <v>38</v>
      </c>
      <c r="F18" s="85">
        <f t="shared" si="1"/>
        <v>1.3908013367152583</v>
      </c>
      <c r="G18" s="85">
        <f t="shared" si="0"/>
        <v>0.3477097509447668</v>
      </c>
    </row>
    <row r="19" spans="1:7">
      <c r="A19" s="3" t="s">
        <v>39</v>
      </c>
      <c r="B19" s="3">
        <v>180</v>
      </c>
      <c r="C19" s="3">
        <v>84</v>
      </c>
      <c r="D19" s="3"/>
      <c r="E19" s="3" t="s">
        <v>39</v>
      </c>
      <c r="F19" s="85">
        <f t="shared" si="1"/>
        <v>-0.54086718650038124</v>
      </c>
      <c r="G19" s="85">
        <f t="shared" si="0"/>
        <v>-0.57393055276425231</v>
      </c>
    </row>
    <row r="20" spans="1:7">
      <c r="A20" s="3" t="s">
        <v>40</v>
      </c>
      <c r="B20" s="3">
        <v>178</v>
      </c>
      <c r="C20" s="3">
        <v>94</v>
      </c>
      <c r="D20" s="3"/>
      <c r="E20" s="3" t="s">
        <v>40</v>
      </c>
      <c r="F20" s="85">
        <f t="shared" si="1"/>
        <v>-0.92720089114350912</v>
      </c>
      <c r="G20" s="85">
        <f t="shared" si="0"/>
        <v>0.2639242687894014</v>
      </c>
    </row>
    <row r="21" spans="1:7">
      <c r="A21" s="3" t="s">
        <v>41</v>
      </c>
      <c r="B21" s="3">
        <v>192</v>
      </c>
      <c r="C21" s="3">
        <v>105</v>
      </c>
      <c r="D21" s="3"/>
      <c r="E21" s="3" t="s">
        <v>41</v>
      </c>
      <c r="F21" s="85">
        <f t="shared" si="1"/>
        <v>1.7771350413583862</v>
      </c>
      <c r="G21" s="85">
        <f t="shared" si="0"/>
        <v>1.1855645724984205</v>
      </c>
    </row>
    <row r="22" spans="1:7">
      <c r="A22" s="3" t="s">
        <v>42</v>
      </c>
      <c r="B22" s="3">
        <v>180</v>
      </c>
      <c r="C22" s="3">
        <v>86</v>
      </c>
      <c r="D22" s="3"/>
      <c r="E22" s="3" t="s">
        <v>42</v>
      </c>
      <c r="F22" s="85">
        <f t="shared" si="1"/>
        <v>-0.54086718650038124</v>
      </c>
      <c r="G22" s="85">
        <f t="shared" si="0"/>
        <v>-0.4063595884535216</v>
      </c>
    </row>
    <row r="23" spans="1:7">
      <c r="A23" s="3" t="s">
        <v>43</v>
      </c>
      <c r="B23" s="85">
        <f>AVERAGE(B3:B22)</f>
        <v>182.8</v>
      </c>
      <c r="C23" s="85">
        <f>AVERAGE(C3:C22)</f>
        <v>90.85</v>
      </c>
      <c r="D23" s="3"/>
      <c r="E23" s="3" t="s">
        <v>43</v>
      </c>
      <c r="F23" s="85">
        <f>AVERAGE(F3:F22)</f>
        <v>-2.1815882433884324E-15</v>
      </c>
      <c r="G23" s="85">
        <f>AVERAGE(G3:G22)</f>
        <v>4.5519144009631414E-16</v>
      </c>
    </row>
    <row r="24" spans="1:7">
      <c r="A24" s="3" t="s">
        <v>44</v>
      </c>
      <c r="B24" s="85">
        <f>_xlfn.STDEV.S(B3:B22)</f>
        <v>5.1768716422179137</v>
      </c>
      <c r="C24" s="85">
        <f>_xlfn.STDEV.S(C3:C22)</f>
        <v>11.935241933031747</v>
      </c>
      <c r="D24" s="3"/>
      <c r="E24" s="3" t="s">
        <v>44</v>
      </c>
      <c r="F24" s="85">
        <f>_xlfn.STDEV.S(F3:F22)</f>
        <v>1</v>
      </c>
      <c r="G24" s="85">
        <f>_xlfn.STDEV.S(G3:G22)</f>
        <v>1.0000000000000022</v>
      </c>
    </row>
    <row r="25" spans="1:7">
      <c r="A25" s="3"/>
      <c r="B25" s="3"/>
      <c r="C25" s="3"/>
      <c r="D25" s="3"/>
      <c r="E25" s="3"/>
      <c r="F25" s="3"/>
      <c r="G25" s="3"/>
    </row>
    <row r="26" spans="1:7">
      <c r="A26" s="5"/>
      <c r="B26" s="5"/>
      <c r="C26" s="5"/>
      <c r="D26" s="5"/>
    </row>
    <row r="27" spans="1:7">
      <c r="A27" s="5"/>
      <c r="B27" s="5"/>
      <c r="C27" s="5"/>
      <c r="D27" s="5"/>
    </row>
    <row r="28" spans="1:7">
      <c r="A28" s="5"/>
      <c r="B28" s="5"/>
      <c r="C28" s="5"/>
      <c r="D28" s="5"/>
    </row>
    <row r="46" spans="1:7">
      <c r="A46" s="3" t="s">
        <v>8</v>
      </c>
      <c r="B46" s="3" t="s">
        <v>9</v>
      </c>
      <c r="C46" s="3" t="s">
        <v>10</v>
      </c>
      <c r="D46" s="2"/>
      <c r="E46" s="3" t="str">
        <f>$A46</f>
        <v>선수</v>
      </c>
      <c r="F46" s="3" t="str">
        <f t="shared" ref="F46:G48" si="2">$A46</f>
        <v>선수</v>
      </c>
      <c r="G46" s="3" t="str">
        <f t="shared" si="2"/>
        <v>선수</v>
      </c>
    </row>
    <row r="47" spans="1:7">
      <c r="A47" s="3" t="s">
        <v>25</v>
      </c>
      <c r="B47" s="3">
        <v>178</v>
      </c>
      <c r="C47" s="3">
        <v>80</v>
      </c>
      <c r="D47" s="3"/>
      <c r="E47" s="3" t="str">
        <f>$A47</f>
        <v>김선빈</v>
      </c>
      <c r="F47" s="3" t="str">
        <f t="shared" si="2"/>
        <v>김선빈</v>
      </c>
      <c r="G47" s="3" t="str">
        <f t="shared" si="2"/>
        <v>김선빈</v>
      </c>
    </row>
    <row r="48" spans="1:7">
      <c r="A48" s="3" t="s">
        <v>6</v>
      </c>
      <c r="B48" s="3">
        <v>184</v>
      </c>
      <c r="C48" s="3">
        <v>80</v>
      </c>
      <c r="D48" s="3"/>
      <c r="E48" s="3" t="str">
        <f>$A48</f>
        <v>박건우</v>
      </c>
      <c r="F48" s="3" t="str">
        <f t="shared" si="2"/>
        <v>박건우</v>
      </c>
      <c r="G48" s="3" t="str">
        <f t="shared" si="2"/>
        <v>박건우</v>
      </c>
    </row>
    <row r="50" spans="1:7">
      <c r="A50" s="3" t="s">
        <v>8</v>
      </c>
      <c r="B50" s="3" t="s">
        <v>9</v>
      </c>
      <c r="C50" s="3" t="s">
        <v>10</v>
      </c>
      <c r="D50" s="2"/>
      <c r="E50" s="3"/>
      <c r="F50" s="3"/>
      <c r="G50" s="3"/>
    </row>
    <row r="51" spans="1:7">
      <c r="A51" s="3" t="s">
        <v>25</v>
      </c>
      <c r="B51" s="3">
        <v>178</v>
      </c>
      <c r="C51" s="3">
        <v>80</v>
      </c>
      <c r="D51" s="3"/>
      <c r="E51" s="3"/>
      <c r="F51" s="3"/>
      <c r="G51" s="3"/>
    </row>
    <row r="52" spans="1:7">
      <c r="A52" s="3" t="s">
        <v>6</v>
      </c>
      <c r="B52" s="3">
        <v>184</v>
      </c>
      <c r="C52" s="3">
        <v>80</v>
      </c>
      <c r="D52" s="3"/>
      <c r="E52" s="3"/>
      <c r="F52" s="3"/>
      <c r="G52" s="3"/>
    </row>
    <row r="54" spans="1:7">
      <c r="A54" s="3" t="s">
        <v>8</v>
      </c>
      <c r="B54" s="3" t="s">
        <v>9</v>
      </c>
      <c r="C54" s="3" t="s">
        <v>10</v>
      </c>
      <c r="D54" s="2"/>
      <c r="E54" s="3" t="str">
        <f>A$54</f>
        <v>선수</v>
      </c>
      <c r="F54" s="3"/>
      <c r="G54" s="3"/>
    </row>
    <row r="55" spans="1:7">
      <c r="A55" s="3" t="s">
        <v>25</v>
      </c>
      <c r="B55" s="3">
        <v>178</v>
      </c>
      <c r="C55" s="3">
        <v>80</v>
      </c>
      <c r="D55" s="3"/>
      <c r="E55" s="3"/>
      <c r="F55" s="3"/>
      <c r="G55" s="3"/>
    </row>
    <row r="56" spans="1:7">
      <c r="A56" s="3" t="s">
        <v>6</v>
      </c>
      <c r="B56" s="3">
        <v>184</v>
      </c>
      <c r="C56" s="3">
        <v>80</v>
      </c>
      <c r="D56" s="3"/>
      <c r="E56" s="3"/>
      <c r="F56" s="3"/>
      <c r="G56" s="3"/>
    </row>
    <row r="58" spans="1:7">
      <c r="A58" s="3" t="s">
        <v>8</v>
      </c>
      <c r="B58" s="3" t="s">
        <v>9</v>
      </c>
      <c r="C58" s="3" t="s">
        <v>10</v>
      </c>
      <c r="D58" s="2"/>
      <c r="E58" s="3" t="str">
        <f>$A58</f>
        <v>선수</v>
      </c>
      <c r="F58" s="3"/>
      <c r="G58" s="3"/>
    </row>
    <row r="59" spans="1:7">
      <c r="A59" s="3" t="s">
        <v>25</v>
      </c>
      <c r="B59" s="3">
        <v>178</v>
      </c>
      <c r="C59" s="3">
        <v>80</v>
      </c>
      <c r="D59" s="3"/>
      <c r="E59" s="3"/>
      <c r="F59" s="3"/>
      <c r="G59" s="3"/>
    </row>
    <row r="60" spans="1:7">
      <c r="A60" s="3" t="s">
        <v>6</v>
      </c>
      <c r="B60" s="3">
        <v>184</v>
      </c>
      <c r="C60" s="3">
        <v>80</v>
      </c>
      <c r="D60" s="3"/>
      <c r="E60" s="3"/>
      <c r="F60" s="3"/>
      <c r="G60" s="3"/>
    </row>
  </sheetData>
  <mergeCells count="2">
    <mergeCell ref="A1:C1"/>
    <mergeCell ref="E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"/>
  <sheetViews>
    <sheetView topLeftCell="A19" zoomScale="55" zoomScaleNormal="55" workbookViewId="0">
      <selection activeCell="L22" sqref="L22"/>
    </sheetView>
  </sheetViews>
  <sheetFormatPr defaultRowHeight="17.399999999999999"/>
  <cols>
    <col min="1" max="1" width="9.19921875" style="6" bestFit="1" customWidth="1"/>
    <col min="2" max="2" width="8.09765625" style="6" bestFit="1" customWidth="1"/>
    <col min="3" max="3" width="13.5" style="6" bestFit="1" customWidth="1"/>
    <col min="4" max="4" width="8.796875" style="6"/>
    <col min="5" max="5" width="13.5" style="6" bestFit="1" customWidth="1"/>
    <col min="6" max="6" width="8" style="6" bestFit="1" customWidth="1"/>
    <col min="7" max="7" width="14.69921875" style="6" bestFit="1" customWidth="1"/>
    <col min="8" max="8" width="9.8984375" style="6" bestFit="1" customWidth="1"/>
    <col min="9" max="16384" width="8.796875" style="6"/>
  </cols>
  <sheetData>
    <row r="1" spans="1:8">
      <c r="A1" s="6" t="s">
        <v>151</v>
      </c>
      <c r="B1" s="6" t="s">
        <v>152</v>
      </c>
      <c r="C1" s="6" t="s">
        <v>153</v>
      </c>
      <c r="E1" s="6" t="s">
        <v>151</v>
      </c>
      <c r="F1" s="6" t="s">
        <v>154</v>
      </c>
      <c r="G1" s="6" t="s">
        <v>155</v>
      </c>
      <c r="H1" s="6" t="s">
        <v>156</v>
      </c>
    </row>
    <row r="2" spans="1:8">
      <c r="A2" s="6" t="s">
        <v>157</v>
      </c>
      <c r="B2" s="6">
        <v>178</v>
      </c>
      <c r="C2" s="6">
        <v>80</v>
      </c>
      <c r="E2" s="6" t="s">
        <v>157</v>
      </c>
      <c r="F2" s="95">
        <f t="shared" ref="F2:F21" si="0">(B2-B$22)</f>
        <v>-4.8000000000000114</v>
      </c>
      <c r="G2" s="95">
        <f t="shared" ref="G2:G21" si="1">(C2-C$22)</f>
        <v>-10.849999999999994</v>
      </c>
      <c r="H2" s="94">
        <f>F2*G2</f>
        <v>52.080000000000098</v>
      </c>
    </row>
    <row r="3" spans="1:8">
      <c r="A3" s="6" t="s">
        <v>158</v>
      </c>
      <c r="B3" s="6">
        <v>184</v>
      </c>
      <c r="C3" s="6">
        <v>80</v>
      </c>
      <c r="E3" s="6" t="s">
        <v>158</v>
      </c>
      <c r="F3" s="95">
        <f t="shared" si="0"/>
        <v>1.1999999999999886</v>
      </c>
      <c r="G3" s="95">
        <f t="shared" si="1"/>
        <v>-10.849999999999994</v>
      </c>
      <c r="H3" s="94">
        <f t="shared" ref="H3:H21" si="2">F3*G3</f>
        <v>-13.01999999999987</v>
      </c>
    </row>
    <row r="4" spans="1:8">
      <c r="A4" s="6" t="s">
        <v>159</v>
      </c>
      <c r="B4" s="6">
        <v>188</v>
      </c>
      <c r="C4" s="6">
        <v>100</v>
      </c>
      <c r="E4" s="6" t="s">
        <v>159</v>
      </c>
      <c r="F4" s="95">
        <f t="shared" si="0"/>
        <v>5.1999999999999886</v>
      </c>
      <c r="G4" s="95">
        <f t="shared" si="1"/>
        <v>9.1500000000000057</v>
      </c>
      <c r="H4" s="94">
        <f t="shared" si="2"/>
        <v>47.579999999999927</v>
      </c>
    </row>
    <row r="5" spans="1:8">
      <c r="A5" s="6" t="s">
        <v>160</v>
      </c>
      <c r="B5" s="6">
        <v>180</v>
      </c>
      <c r="C5" s="6">
        <v>90</v>
      </c>
      <c r="E5" s="6" t="s">
        <v>160</v>
      </c>
      <c r="F5" s="95">
        <f t="shared" si="0"/>
        <v>-2.8000000000000114</v>
      </c>
      <c r="G5" s="95">
        <f t="shared" si="1"/>
        <v>-0.84999999999999432</v>
      </c>
      <c r="H5" s="94">
        <f t="shared" si="2"/>
        <v>2.3799999999999937</v>
      </c>
    </row>
    <row r="6" spans="1:8">
      <c r="A6" s="6" t="s">
        <v>161</v>
      </c>
      <c r="B6" s="6">
        <v>185</v>
      </c>
      <c r="C6" s="6">
        <v>90</v>
      </c>
      <c r="E6" s="6" t="s">
        <v>161</v>
      </c>
      <c r="F6" s="95">
        <f t="shared" si="0"/>
        <v>2.1999999999999886</v>
      </c>
      <c r="G6" s="95">
        <f t="shared" si="1"/>
        <v>-0.84999999999999432</v>
      </c>
      <c r="H6" s="94">
        <f t="shared" si="2"/>
        <v>-1.8699999999999779</v>
      </c>
    </row>
    <row r="7" spans="1:8">
      <c r="A7" s="6" t="s">
        <v>162</v>
      </c>
      <c r="B7" s="6">
        <v>178</v>
      </c>
      <c r="C7" s="6">
        <v>94</v>
      </c>
      <c r="E7" s="6" t="s">
        <v>162</v>
      </c>
      <c r="F7" s="95">
        <f t="shared" si="0"/>
        <v>-4.8000000000000114</v>
      </c>
      <c r="G7" s="95">
        <f t="shared" si="1"/>
        <v>3.1500000000000057</v>
      </c>
      <c r="H7" s="94">
        <f t="shared" si="2"/>
        <v>-15.120000000000063</v>
      </c>
    </row>
    <row r="8" spans="1:8">
      <c r="A8" s="6" t="s">
        <v>163</v>
      </c>
      <c r="B8" s="6">
        <v>183</v>
      </c>
      <c r="C8" s="6">
        <v>90</v>
      </c>
      <c r="E8" s="6" t="s">
        <v>163</v>
      </c>
      <c r="F8" s="95">
        <f t="shared" si="0"/>
        <v>0.19999999999998863</v>
      </c>
      <c r="G8" s="95">
        <f t="shared" si="1"/>
        <v>-0.84999999999999432</v>
      </c>
      <c r="H8" s="94">
        <f t="shared" si="2"/>
        <v>-0.16999999999998919</v>
      </c>
    </row>
    <row r="9" spans="1:8">
      <c r="A9" s="6" t="s">
        <v>164</v>
      </c>
      <c r="B9" s="6">
        <v>180</v>
      </c>
      <c r="C9" s="6">
        <v>100</v>
      </c>
      <c r="E9" s="6" t="s">
        <v>164</v>
      </c>
      <c r="F9" s="95">
        <f t="shared" si="0"/>
        <v>-2.8000000000000114</v>
      </c>
      <c r="G9" s="95">
        <f t="shared" si="1"/>
        <v>9.1500000000000057</v>
      </c>
      <c r="H9" s="94">
        <f t="shared" si="2"/>
        <v>-25.620000000000118</v>
      </c>
    </row>
    <row r="10" spans="1:8">
      <c r="A10" s="6" t="s">
        <v>165</v>
      </c>
      <c r="B10" s="6">
        <v>175</v>
      </c>
      <c r="C10" s="6">
        <v>85</v>
      </c>
      <c r="E10" s="6" t="s">
        <v>165</v>
      </c>
      <c r="F10" s="95">
        <f t="shared" si="0"/>
        <v>-7.8000000000000114</v>
      </c>
      <c r="G10" s="95">
        <f t="shared" si="1"/>
        <v>-5.8499999999999943</v>
      </c>
      <c r="H10" s="94">
        <f t="shared" si="2"/>
        <v>45.630000000000024</v>
      </c>
    </row>
    <row r="11" spans="1:8">
      <c r="A11" s="6" t="s">
        <v>166</v>
      </c>
      <c r="B11" s="6">
        <v>176</v>
      </c>
      <c r="C11" s="6">
        <v>84</v>
      </c>
      <c r="E11" s="6" t="s">
        <v>166</v>
      </c>
      <c r="F11" s="95">
        <f t="shared" si="0"/>
        <v>-6.8000000000000114</v>
      </c>
      <c r="G11" s="95">
        <f t="shared" si="1"/>
        <v>-6.8499999999999943</v>
      </c>
      <c r="H11" s="94">
        <f t="shared" si="2"/>
        <v>46.580000000000041</v>
      </c>
    </row>
    <row r="12" spans="1:8">
      <c r="A12" s="6" t="s">
        <v>167</v>
      </c>
      <c r="B12" s="6">
        <v>183</v>
      </c>
      <c r="C12" s="6">
        <v>80</v>
      </c>
      <c r="E12" s="6" t="s">
        <v>167</v>
      </c>
      <c r="F12" s="95">
        <f t="shared" si="0"/>
        <v>0.19999999999998863</v>
      </c>
      <c r="G12" s="95">
        <f t="shared" si="1"/>
        <v>-10.849999999999994</v>
      </c>
      <c r="H12" s="94">
        <f t="shared" si="2"/>
        <v>-2.1699999999998756</v>
      </c>
    </row>
    <row r="13" spans="1:8">
      <c r="A13" s="6" t="s">
        <v>168</v>
      </c>
      <c r="B13" s="6">
        <v>183</v>
      </c>
      <c r="C13" s="6">
        <v>81</v>
      </c>
      <c r="E13" s="6" t="s">
        <v>168</v>
      </c>
      <c r="F13" s="95">
        <f t="shared" si="0"/>
        <v>0.19999999999998863</v>
      </c>
      <c r="G13" s="95">
        <f t="shared" si="1"/>
        <v>-9.8499999999999943</v>
      </c>
      <c r="H13" s="94">
        <f t="shared" si="2"/>
        <v>-1.969999999999887</v>
      </c>
    </row>
    <row r="14" spans="1:8">
      <c r="A14" s="6" t="s">
        <v>169</v>
      </c>
      <c r="B14" s="6">
        <v>185</v>
      </c>
      <c r="C14" s="6">
        <v>78</v>
      </c>
      <c r="E14" s="6" t="s">
        <v>169</v>
      </c>
      <c r="F14" s="95">
        <f t="shared" si="0"/>
        <v>2.1999999999999886</v>
      </c>
      <c r="G14" s="95">
        <f t="shared" si="1"/>
        <v>-12.849999999999994</v>
      </c>
      <c r="H14" s="94">
        <f t="shared" si="2"/>
        <v>-28.26999999999984</v>
      </c>
    </row>
    <row r="15" spans="1:8">
      <c r="A15" s="6" t="s">
        <v>170</v>
      </c>
      <c r="B15" s="6">
        <v>184</v>
      </c>
      <c r="C15" s="6">
        <v>91</v>
      </c>
      <c r="E15" s="6" t="s">
        <v>170</v>
      </c>
      <c r="F15" s="95">
        <f t="shared" si="0"/>
        <v>1.1999999999999886</v>
      </c>
      <c r="G15" s="95">
        <f t="shared" si="1"/>
        <v>0.15000000000000568</v>
      </c>
      <c r="H15" s="94">
        <f t="shared" si="2"/>
        <v>0.18000000000000513</v>
      </c>
    </row>
    <row r="16" spans="1:8">
      <c r="A16" s="6" t="s">
        <v>171</v>
      </c>
      <c r="B16" s="6">
        <v>194</v>
      </c>
      <c r="C16" s="6">
        <v>130</v>
      </c>
      <c r="E16" s="6" t="s">
        <v>171</v>
      </c>
      <c r="F16" s="95">
        <f t="shared" si="0"/>
        <v>11.199999999999989</v>
      </c>
      <c r="G16" s="95">
        <f t="shared" si="1"/>
        <v>39.150000000000006</v>
      </c>
      <c r="H16" s="94">
        <f t="shared" si="2"/>
        <v>438.47999999999962</v>
      </c>
    </row>
    <row r="17" spans="1:8">
      <c r="A17" s="6" t="s">
        <v>172</v>
      </c>
      <c r="B17" s="6">
        <v>190</v>
      </c>
      <c r="C17" s="6">
        <v>95</v>
      </c>
      <c r="E17" s="6" t="s">
        <v>172</v>
      </c>
      <c r="F17" s="95">
        <f t="shared" si="0"/>
        <v>7.1999999999999886</v>
      </c>
      <c r="G17" s="95">
        <f t="shared" si="1"/>
        <v>4.1500000000000057</v>
      </c>
      <c r="H17" s="94">
        <f t="shared" si="2"/>
        <v>29.879999999999995</v>
      </c>
    </row>
    <row r="18" spans="1:8">
      <c r="A18" s="6" t="s">
        <v>173</v>
      </c>
      <c r="B18" s="6">
        <v>180</v>
      </c>
      <c r="C18" s="6">
        <v>84</v>
      </c>
      <c r="E18" s="6" t="s">
        <v>173</v>
      </c>
      <c r="F18" s="95">
        <f t="shared" si="0"/>
        <v>-2.8000000000000114</v>
      </c>
      <c r="G18" s="95">
        <f t="shared" si="1"/>
        <v>-6.8499999999999943</v>
      </c>
      <c r="H18" s="94">
        <f t="shared" si="2"/>
        <v>19.180000000000064</v>
      </c>
    </row>
    <row r="19" spans="1:8">
      <c r="A19" s="6" t="s">
        <v>174</v>
      </c>
      <c r="B19" s="6">
        <v>178</v>
      </c>
      <c r="C19" s="6">
        <v>94</v>
      </c>
      <c r="E19" s="6" t="s">
        <v>174</v>
      </c>
      <c r="F19" s="95">
        <f t="shared" si="0"/>
        <v>-4.8000000000000114</v>
      </c>
      <c r="G19" s="95">
        <f t="shared" si="1"/>
        <v>3.1500000000000057</v>
      </c>
      <c r="H19" s="94">
        <f t="shared" si="2"/>
        <v>-15.120000000000063</v>
      </c>
    </row>
    <row r="20" spans="1:8">
      <c r="A20" s="6" t="s">
        <v>175</v>
      </c>
      <c r="B20" s="6">
        <v>192</v>
      </c>
      <c r="C20" s="6">
        <v>105</v>
      </c>
      <c r="E20" s="6" t="s">
        <v>175</v>
      </c>
      <c r="F20" s="95">
        <f t="shared" si="0"/>
        <v>9.1999999999999886</v>
      </c>
      <c r="G20" s="95">
        <f t="shared" si="1"/>
        <v>14.150000000000006</v>
      </c>
      <c r="H20" s="94">
        <f t="shared" si="2"/>
        <v>130.17999999999989</v>
      </c>
    </row>
    <row r="21" spans="1:8">
      <c r="A21" s="6" t="s">
        <v>176</v>
      </c>
      <c r="B21" s="6">
        <v>180</v>
      </c>
      <c r="C21" s="6">
        <v>86</v>
      </c>
      <c r="E21" s="6" t="s">
        <v>176</v>
      </c>
      <c r="F21" s="95">
        <f t="shared" si="0"/>
        <v>-2.8000000000000114</v>
      </c>
      <c r="G21" s="95">
        <f t="shared" si="1"/>
        <v>-4.8499999999999943</v>
      </c>
      <c r="H21" s="94">
        <f t="shared" si="2"/>
        <v>13.580000000000039</v>
      </c>
    </row>
    <row r="22" spans="1:8">
      <c r="A22" s="6" t="s">
        <v>177</v>
      </c>
      <c r="B22" s="7">
        <f>AVERAGE(B2:B21)</f>
        <v>182.8</v>
      </c>
      <c r="C22" s="7">
        <f>AVERAGE(C2:C21)</f>
        <v>90.85</v>
      </c>
      <c r="F22" s="7"/>
      <c r="G22" s="7" t="s">
        <v>178</v>
      </c>
      <c r="H22" s="94">
        <f>SUM(H2:H21)</f>
        <v>722.4</v>
      </c>
    </row>
    <row r="23" spans="1:8">
      <c r="B23" s="7"/>
      <c r="C23" s="7"/>
      <c r="G23" s="1" t="s">
        <v>179</v>
      </c>
      <c r="H23" s="8">
        <f>H22/19</f>
        <v>38.021052631578947</v>
      </c>
    </row>
    <row r="25" spans="1:8">
      <c r="G25" s="1" t="s">
        <v>180</v>
      </c>
      <c r="H25" s="8">
        <f>_xlfn.COVARIANCE.S(B2:B21,C2:C21)</f>
        <v>38.021052631578947</v>
      </c>
    </row>
    <row r="27" spans="1:8">
      <c r="H27" s="7"/>
    </row>
    <row r="29" spans="1:8">
      <c r="H29" s="7"/>
    </row>
    <row r="30" spans="1:8">
      <c r="H30" s="7"/>
    </row>
    <row r="35" spans="1:7">
      <c r="A35" s="6" t="s">
        <v>181</v>
      </c>
      <c r="B35" s="6" t="s">
        <v>182</v>
      </c>
      <c r="C35" s="6" t="s">
        <v>183</v>
      </c>
      <c r="E35" s="6" t="s">
        <v>181</v>
      </c>
      <c r="F35" s="6" t="s">
        <v>184</v>
      </c>
      <c r="G35" s="6" t="s">
        <v>185</v>
      </c>
    </row>
    <row r="36" spans="1:7">
      <c r="A36" s="6" t="s">
        <v>186</v>
      </c>
      <c r="B36" s="6">
        <v>178</v>
      </c>
      <c r="C36" s="6">
        <v>80</v>
      </c>
      <c r="E36" s="6" t="s">
        <v>186</v>
      </c>
      <c r="F36" s="6">
        <f t="shared" ref="F36:F55" si="3">B2/100</f>
        <v>1.78</v>
      </c>
      <c r="G36" s="6">
        <f t="shared" ref="G36:G55" si="4">C2*1000</f>
        <v>80000</v>
      </c>
    </row>
    <row r="37" spans="1:7">
      <c r="A37" s="6" t="s">
        <v>187</v>
      </c>
      <c r="B37" s="6">
        <v>184</v>
      </c>
      <c r="C37" s="6">
        <v>80</v>
      </c>
      <c r="E37" s="6" t="s">
        <v>187</v>
      </c>
      <c r="F37" s="6">
        <f t="shared" si="3"/>
        <v>1.84</v>
      </c>
      <c r="G37" s="6">
        <f t="shared" si="4"/>
        <v>80000</v>
      </c>
    </row>
    <row r="38" spans="1:7">
      <c r="A38" s="6" t="s">
        <v>101</v>
      </c>
      <c r="B38" s="6">
        <v>188</v>
      </c>
      <c r="C38" s="6">
        <v>100</v>
      </c>
      <c r="E38" s="6" t="s">
        <v>101</v>
      </c>
      <c r="F38" s="6">
        <f t="shared" si="3"/>
        <v>1.88</v>
      </c>
      <c r="G38" s="6">
        <f t="shared" si="4"/>
        <v>100000</v>
      </c>
    </row>
    <row r="39" spans="1:7">
      <c r="A39" s="6" t="s">
        <v>102</v>
      </c>
      <c r="B39" s="6">
        <v>180</v>
      </c>
      <c r="C39" s="6">
        <v>90</v>
      </c>
      <c r="E39" s="6" t="s">
        <v>102</v>
      </c>
      <c r="F39" s="6">
        <f t="shared" si="3"/>
        <v>1.8</v>
      </c>
      <c r="G39" s="6">
        <f t="shared" si="4"/>
        <v>90000</v>
      </c>
    </row>
    <row r="40" spans="1:7">
      <c r="A40" s="6" t="s">
        <v>103</v>
      </c>
      <c r="B40" s="6">
        <v>185</v>
      </c>
      <c r="C40" s="6">
        <v>90</v>
      </c>
      <c r="E40" s="6" t="s">
        <v>103</v>
      </c>
      <c r="F40" s="6">
        <f t="shared" si="3"/>
        <v>1.85</v>
      </c>
      <c r="G40" s="6">
        <f t="shared" si="4"/>
        <v>90000</v>
      </c>
    </row>
    <row r="41" spans="1:7">
      <c r="A41" s="6" t="s">
        <v>104</v>
      </c>
      <c r="B41" s="6">
        <v>178</v>
      </c>
      <c r="C41" s="6">
        <v>94</v>
      </c>
      <c r="E41" s="6" t="s">
        <v>104</v>
      </c>
      <c r="F41" s="6">
        <f t="shared" si="3"/>
        <v>1.78</v>
      </c>
      <c r="G41" s="6">
        <f t="shared" si="4"/>
        <v>94000</v>
      </c>
    </row>
    <row r="42" spans="1:7">
      <c r="A42" s="6" t="s">
        <v>105</v>
      </c>
      <c r="B42" s="6">
        <v>183</v>
      </c>
      <c r="C42" s="6">
        <v>90</v>
      </c>
      <c r="E42" s="6" t="s">
        <v>105</v>
      </c>
      <c r="F42" s="6">
        <f t="shared" si="3"/>
        <v>1.83</v>
      </c>
      <c r="G42" s="6">
        <f t="shared" si="4"/>
        <v>90000</v>
      </c>
    </row>
    <row r="43" spans="1:7">
      <c r="A43" s="6" t="s">
        <v>107</v>
      </c>
      <c r="B43" s="6">
        <v>180</v>
      </c>
      <c r="C43" s="6">
        <v>100</v>
      </c>
      <c r="E43" s="6" t="s">
        <v>107</v>
      </c>
      <c r="F43" s="6">
        <f t="shared" si="3"/>
        <v>1.8</v>
      </c>
      <c r="G43" s="6">
        <f t="shared" si="4"/>
        <v>100000</v>
      </c>
    </row>
    <row r="44" spans="1:7">
      <c r="A44" s="6" t="s">
        <v>109</v>
      </c>
      <c r="B44" s="6">
        <v>175</v>
      </c>
      <c r="C44" s="6">
        <v>85</v>
      </c>
      <c r="E44" s="6" t="s">
        <v>109</v>
      </c>
      <c r="F44" s="6">
        <f t="shared" si="3"/>
        <v>1.75</v>
      </c>
      <c r="G44" s="6">
        <f t="shared" si="4"/>
        <v>85000</v>
      </c>
    </row>
    <row r="45" spans="1:7">
      <c r="A45" s="6" t="s">
        <v>111</v>
      </c>
      <c r="B45" s="6">
        <v>176</v>
      </c>
      <c r="C45" s="6">
        <v>84</v>
      </c>
      <c r="E45" s="6" t="s">
        <v>111</v>
      </c>
      <c r="F45" s="6">
        <f t="shared" si="3"/>
        <v>1.76</v>
      </c>
      <c r="G45" s="6">
        <f t="shared" si="4"/>
        <v>84000</v>
      </c>
    </row>
    <row r="46" spans="1:7">
      <c r="A46" s="6" t="s">
        <v>113</v>
      </c>
      <c r="B46" s="6">
        <v>183</v>
      </c>
      <c r="C46" s="6">
        <v>80</v>
      </c>
      <c r="E46" s="6" t="s">
        <v>113</v>
      </c>
      <c r="F46" s="6">
        <f t="shared" si="3"/>
        <v>1.83</v>
      </c>
      <c r="G46" s="6">
        <f t="shared" si="4"/>
        <v>80000</v>
      </c>
    </row>
    <row r="47" spans="1:7">
      <c r="A47" s="6" t="s">
        <v>188</v>
      </c>
      <c r="B47" s="6">
        <v>183</v>
      </c>
      <c r="C47" s="6">
        <v>81</v>
      </c>
      <c r="E47" s="6" t="s">
        <v>188</v>
      </c>
      <c r="F47" s="6">
        <f t="shared" si="3"/>
        <v>1.83</v>
      </c>
      <c r="G47" s="6">
        <f t="shared" si="4"/>
        <v>81000</v>
      </c>
    </row>
    <row r="48" spans="1:7">
      <c r="A48" s="6" t="s">
        <v>117</v>
      </c>
      <c r="B48" s="6">
        <v>185</v>
      </c>
      <c r="C48" s="6">
        <v>78</v>
      </c>
      <c r="E48" s="6" t="s">
        <v>117</v>
      </c>
      <c r="F48" s="6">
        <f t="shared" si="3"/>
        <v>1.85</v>
      </c>
      <c r="G48" s="6">
        <f t="shared" si="4"/>
        <v>78000</v>
      </c>
    </row>
    <row r="49" spans="1:8">
      <c r="A49" s="6" t="s">
        <v>119</v>
      </c>
      <c r="B49" s="6">
        <v>184</v>
      </c>
      <c r="C49" s="6">
        <v>91</v>
      </c>
      <c r="E49" s="6" t="s">
        <v>119</v>
      </c>
      <c r="F49" s="6">
        <f t="shared" si="3"/>
        <v>1.84</v>
      </c>
      <c r="G49" s="6">
        <f t="shared" si="4"/>
        <v>91000</v>
      </c>
    </row>
    <row r="50" spans="1:8">
      <c r="A50" s="6" t="s">
        <v>189</v>
      </c>
      <c r="B50" s="6">
        <v>194</v>
      </c>
      <c r="C50" s="6">
        <v>130</v>
      </c>
      <c r="E50" s="6" t="s">
        <v>189</v>
      </c>
      <c r="F50" s="6">
        <f t="shared" si="3"/>
        <v>1.94</v>
      </c>
      <c r="G50" s="6">
        <f t="shared" si="4"/>
        <v>130000</v>
      </c>
    </row>
    <row r="51" spans="1:8">
      <c r="A51" s="6" t="s">
        <v>123</v>
      </c>
      <c r="B51" s="6">
        <v>190</v>
      </c>
      <c r="C51" s="6">
        <v>95</v>
      </c>
      <c r="E51" s="6" t="s">
        <v>123</v>
      </c>
      <c r="F51" s="6">
        <f t="shared" si="3"/>
        <v>1.9</v>
      </c>
      <c r="G51" s="6">
        <f t="shared" si="4"/>
        <v>95000</v>
      </c>
    </row>
    <row r="52" spans="1:8">
      <c r="A52" s="6" t="s">
        <v>125</v>
      </c>
      <c r="B52" s="6">
        <v>180</v>
      </c>
      <c r="C52" s="6">
        <v>84</v>
      </c>
      <c r="E52" s="6" t="s">
        <v>125</v>
      </c>
      <c r="F52" s="6">
        <f t="shared" si="3"/>
        <v>1.8</v>
      </c>
      <c r="G52" s="6">
        <f t="shared" si="4"/>
        <v>84000</v>
      </c>
    </row>
    <row r="53" spans="1:8">
      <c r="A53" s="6" t="s">
        <v>127</v>
      </c>
      <c r="B53" s="6">
        <v>178</v>
      </c>
      <c r="C53" s="6">
        <v>94</v>
      </c>
      <c r="E53" s="6" t="s">
        <v>127</v>
      </c>
      <c r="F53" s="6">
        <f t="shared" si="3"/>
        <v>1.78</v>
      </c>
      <c r="G53" s="6">
        <f t="shared" si="4"/>
        <v>94000</v>
      </c>
    </row>
    <row r="54" spans="1:8">
      <c r="A54" s="6" t="s">
        <v>129</v>
      </c>
      <c r="B54" s="6">
        <v>192</v>
      </c>
      <c r="C54" s="6">
        <v>105</v>
      </c>
      <c r="E54" s="6" t="s">
        <v>129</v>
      </c>
      <c r="F54" s="6">
        <f t="shared" si="3"/>
        <v>1.92</v>
      </c>
      <c r="G54" s="6">
        <f t="shared" si="4"/>
        <v>105000</v>
      </c>
    </row>
    <row r="55" spans="1:8">
      <c r="A55" s="6" t="s">
        <v>131</v>
      </c>
      <c r="B55" s="6">
        <v>180</v>
      </c>
      <c r="C55" s="6">
        <v>86</v>
      </c>
      <c r="E55" s="6" t="s">
        <v>131</v>
      </c>
      <c r="F55" s="6">
        <f t="shared" si="3"/>
        <v>1.8</v>
      </c>
      <c r="G55" s="6">
        <f t="shared" si="4"/>
        <v>86000</v>
      </c>
    </row>
    <row r="56" spans="1:8">
      <c r="B56" s="7"/>
      <c r="C56" s="7"/>
      <c r="F56" s="7"/>
      <c r="G56" s="7"/>
    </row>
    <row r="57" spans="1:8">
      <c r="B57" s="1" t="s">
        <v>190</v>
      </c>
      <c r="C57" s="8">
        <f>_xlfn.COVARIANCE.S(B36:B55,C36:C55)</f>
        <v>38.021052631578947</v>
      </c>
      <c r="F57" s="1" t="s">
        <v>190</v>
      </c>
      <c r="G57" s="8">
        <f>_xlfn.COVARIANCE.S(F36:F55,G36:G55)</f>
        <v>380.21052631578902</v>
      </c>
    </row>
    <row r="58" spans="1:8">
      <c r="H5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0"/>
  <sheetViews>
    <sheetView topLeftCell="A22" zoomScale="70" zoomScaleNormal="70" workbookViewId="0">
      <selection activeCell="H22" activeCellId="2" sqref="B22:C23 F2:H21 H22"/>
    </sheetView>
  </sheetViews>
  <sheetFormatPr defaultRowHeight="17.399999999999999"/>
  <cols>
    <col min="1" max="2" width="9.19921875" bestFit="1" customWidth="1"/>
    <col min="3" max="3" width="10.69921875" bestFit="1" customWidth="1"/>
    <col min="5" max="5" width="9.19921875" bestFit="1" customWidth="1"/>
    <col min="6" max="6" width="9.8984375" bestFit="1" customWidth="1"/>
    <col min="7" max="7" width="14.69921875" bestFit="1" customWidth="1"/>
    <col min="8" max="8" width="18.796875" bestFit="1" customWidth="1"/>
  </cols>
  <sheetData>
    <row r="1" spans="1:8">
      <c r="A1" s="6" t="s">
        <v>93</v>
      </c>
      <c r="B1" s="6" t="s">
        <v>94</v>
      </c>
      <c r="C1" s="6" t="s">
        <v>95</v>
      </c>
      <c r="D1" s="6"/>
      <c r="E1" s="6" t="s">
        <v>93</v>
      </c>
      <c r="F1" s="6" t="s">
        <v>96</v>
      </c>
      <c r="G1" s="6" t="s">
        <v>97</v>
      </c>
      <c r="H1" s="6" t="s">
        <v>98</v>
      </c>
    </row>
    <row r="2" spans="1:8">
      <c r="A2" s="6" t="s">
        <v>99</v>
      </c>
      <c r="B2" s="6">
        <v>178</v>
      </c>
      <c r="C2" s="6">
        <v>80</v>
      </c>
      <c r="D2" s="6"/>
      <c r="E2" s="6" t="s">
        <v>99</v>
      </c>
      <c r="F2" s="95">
        <f>(B2-B$22)/B$23</f>
        <v>-0.92720089114350912</v>
      </c>
      <c r="G2" s="95">
        <f t="shared" ref="G2:G21" si="0">(C2-C$22)/C$23</f>
        <v>-0.90907248138571384</v>
      </c>
      <c r="H2" s="95">
        <f>F2*G2</f>
        <v>0.84289281485487499</v>
      </c>
    </row>
    <row r="3" spans="1:8">
      <c r="A3" s="6" t="s">
        <v>100</v>
      </c>
      <c r="B3" s="6">
        <v>184</v>
      </c>
      <c r="C3" s="6">
        <v>80</v>
      </c>
      <c r="D3" s="6"/>
      <c r="E3" s="6" t="s">
        <v>100</v>
      </c>
      <c r="F3" s="95">
        <f t="shared" ref="F3:F21" si="1">(B3-B$22)/B$23</f>
        <v>0.23180022278587456</v>
      </c>
      <c r="G3" s="95">
        <f t="shared" si="0"/>
        <v>-0.90907248138571384</v>
      </c>
      <c r="H3" s="95">
        <f t="shared" ref="H3:H21" si="2">F3*G3</f>
        <v>-0.21072320371371628</v>
      </c>
    </row>
    <row r="4" spans="1:8">
      <c r="A4" s="6" t="s">
        <v>101</v>
      </c>
      <c r="B4" s="6">
        <v>188</v>
      </c>
      <c r="C4" s="6">
        <v>100</v>
      </c>
      <c r="D4" s="6"/>
      <c r="E4" s="6" t="s">
        <v>101</v>
      </c>
      <c r="F4" s="95">
        <f t="shared" si="1"/>
        <v>1.0044676320721304</v>
      </c>
      <c r="G4" s="95">
        <f t="shared" si="0"/>
        <v>0.76663716172159369</v>
      </c>
      <c r="H4" s="95">
        <f t="shared" si="2"/>
        <v>0.77006221449298806</v>
      </c>
    </row>
    <row r="5" spans="1:8">
      <c r="A5" s="6" t="s">
        <v>102</v>
      </c>
      <c r="B5" s="6">
        <v>180</v>
      </c>
      <c r="C5" s="6">
        <v>90</v>
      </c>
      <c r="D5" s="6"/>
      <c r="E5" s="6" t="s">
        <v>102</v>
      </c>
      <c r="F5" s="95">
        <f t="shared" si="1"/>
        <v>-0.54086718650038124</v>
      </c>
      <c r="G5" s="95">
        <f t="shared" si="0"/>
        <v>-7.121765983206009E-2</v>
      </c>
      <c r="H5" s="95">
        <f t="shared" si="2"/>
        <v>3.8519295302507556E-2</v>
      </c>
    </row>
    <row r="6" spans="1:8">
      <c r="A6" s="6" t="s">
        <v>103</v>
      </c>
      <c r="B6" s="6">
        <v>185</v>
      </c>
      <c r="C6" s="6">
        <v>90</v>
      </c>
      <c r="D6" s="6"/>
      <c r="E6" s="6" t="s">
        <v>103</v>
      </c>
      <c r="F6" s="95">
        <f t="shared" si="1"/>
        <v>0.42496707510743847</v>
      </c>
      <c r="G6" s="95">
        <f t="shared" si="0"/>
        <v>-7.121765983206009E-2</v>
      </c>
      <c r="H6" s="95">
        <f t="shared" si="2"/>
        <v>-3.0265160594827083E-2</v>
      </c>
    </row>
    <row r="7" spans="1:8">
      <c r="A7" s="6" t="s">
        <v>104</v>
      </c>
      <c r="B7" s="6">
        <v>178</v>
      </c>
      <c r="C7" s="6">
        <v>94</v>
      </c>
      <c r="D7" s="6"/>
      <c r="E7" s="6" t="s">
        <v>104</v>
      </c>
      <c r="F7" s="95">
        <f t="shared" si="1"/>
        <v>-0.92720089114350912</v>
      </c>
      <c r="G7" s="95">
        <f t="shared" si="0"/>
        <v>0.2639242687894014</v>
      </c>
      <c r="H7" s="95">
        <f t="shared" si="2"/>
        <v>-0.24471081721593199</v>
      </c>
    </row>
    <row r="8" spans="1:8">
      <c r="A8" s="6" t="s">
        <v>106</v>
      </c>
      <c r="B8" s="6">
        <v>183</v>
      </c>
      <c r="C8" s="6">
        <v>90</v>
      </c>
      <c r="D8" s="6"/>
      <c r="E8" s="6" t="s">
        <v>106</v>
      </c>
      <c r="F8" s="95">
        <f t="shared" si="1"/>
        <v>3.8633370464310597E-2</v>
      </c>
      <c r="G8" s="95">
        <f t="shared" si="0"/>
        <v>-7.121765983206009E-2</v>
      </c>
      <c r="H8" s="95">
        <f t="shared" si="2"/>
        <v>-2.7513782358932295E-3</v>
      </c>
    </row>
    <row r="9" spans="1:8">
      <c r="A9" s="6" t="s">
        <v>108</v>
      </c>
      <c r="B9" s="6">
        <v>180</v>
      </c>
      <c r="C9" s="6">
        <v>100</v>
      </c>
      <c r="D9" s="6"/>
      <c r="E9" s="6" t="s">
        <v>108</v>
      </c>
      <c r="F9" s="95">
        <f t="shared" si="1"/>
        <v>-0.54086718650038124</v>
      </c>
      <c r="G9" s="95">
        <f t="shared" si="0"/>
        <v>0.76663716172159369</v>
      </c>
      <c r="H9" s="95">
        <f t="shared" si="2"/>
        <v>-0.41464888472699613</v>
      </c>
    </row>
    <row r="10" spans="1:8">
      <c r="A10" s="6" t="s">
        <v>110</v>
      </c>
      <c r="B10" s="6">
        <v>175</v>
      </c>
      <c r="C10" s="6">
        <v>85</v>
      </c>
      <c r="D10" s="6"/>
      <c r="E10" s="6" t="s">
        <v>110</v>
      </c>
      <c r="F10" s="95">
        <f t="shared" si="1"/>
        <v>-1.5067014481082011</v>
      </c>
      <c r="G10" s="95">
        <f t="shared" si="0"/>
        <v>-0.49014507060888696</v>
      </c>
      <c r="H10" s="95">
        <f t="shared" si="2"/>
        <v>0.73850228766950643</v>
      </c>
    </row>
    <row r="11" spans="1:8">
      <c r="A11" s="6" t="s">
        <v>112</v>
      </c>
      <c r="B11" s="6">
        <v>176</v>
      </c>
      <c r="C11" s="6">
        <v>84</v>
      </c>
      <c r="D11" s="6"/>
      <c r="E11" s="6" t="s">
        <v>112</v>
      </c>
      <c r="F11" s="95">
        <f t="shared" si="1"/>
        <v>-1.3135345957866371</v>
      </c>
      <c r="G11" s="95">
        <f t="shared" si="0"/>
        <v>-0.57393055276425231</v>
      </c>
      <c r="H11" s="95">
        <f t="shared" si="2"/>
        <v>0.75387763663479335</v>
      </c>
    </row>
    <row r="12" spans="1:8">
      <c r="A12" s="6" t="s">
        <v>114</v>
      </c>
      <c r="B12" s="6">
        <v>183</v>
      </c>
      <c r="C12" s="6">
        <v>80</v>
      </c>
      <c r="D12" s="6"/>
      <c r="E12" s="6" t="s">
        <v>114</v>
      </c>
      <c r="F12" s="95">
        <f t="shared" si="1"/>
        <v>3.8633370464310597E-2</v>
      </c>
      <c r="G12" s="95">
        <f t="shared" si="0"/>
        <v>-0.90907248138571384</v>
      </c>
      <c r="H12" s="95">
        <f t="shared" si="2"/>
        <v>-3.5120533952284379E-2</v>
      </c>
    </row>
    <row r="13" spans="1:8">
      <c r="A13" s="6" t="s">
        <v>116</v>
      </c>
      <c r="B13" s="6">
        <v>183</v>
      </c>
      <c r="C13" s="6">
        <v>81</v>
      </c>
      <c r="D13" s="6"/>
      <c r="E13" s="6" t="s">
        <v>116</v>
      </c>
      <c r="F13" s="95">
        <f t="shared" si="1"/>
        <v>3.8633370464310597E-2</v>
      </c>
      <c r="G13" s="95">
        <f t="shared" si="0"/>
        <v>-0.82528699923034843</v>
      </c>
      <c r="H13" s="95">
        <f t="shared" si="2"/>
        <v>-3.1883618380645268E-2</v>
      </c>
    </row>
    <row r="14" spans="1:8">
      <c r="A14" s="6" t="s">
        <v>118</v>
      </c>
      <c r="B14" s="6">
        <v>185</v>
      </c>
      <c r="C14" s="6">
        <v>78</v>
      </c>
      <c r="D14" s="6"/>
      <c r="E14" s="6" t="s">
        <v>118</v>
      </c>
      <c r="F14" s="95">
        <f t="shared" si="1"/>
        <v>0.42496707510743847</v>
      </c>
      <c r="G14" s="95">
        <f t="shared" si="0"/>
        <v>-1.0766434456964447</v>
      </c>
      <c r="H14" s="95">
        <f t="shared" si="2"/>
        <v>-0.45753801605121236</v>
      </c>
    </row>
    <row r="15" spans="1:8">
      <c r="A15" s="6" t="s">
        <v>120</v>
      </c>
      <c r="B15" s="6">
        <v>184</v>
      </c>
      <c r="C15" s="6">
        <v>91</v>
      </c>
      <c r="D15" s="6"/>
      <c r="E15" s="6" t="s">
        <v>120</v>
      </c>
      <c r="F15" s="95">
        <f t="shared" si="1"/>
        <v>0.23180022278587456</v>
      </c>
      <c r="G15" s="95">
        <f t="shared" si="0"/>
        <v>1.2567822323305283E-2</v>
      </c>
      <c r="H15" s="95">
        <f t="shared" si="2"/>
        <v>2.9132240144754524E-3</v>
      </c>
    </row>
    <row r="16" spans="1:8">
      <c r="A16" s="6" t="s">
        <v>122</v>
      </c>
      <c r="B16" s="6">
        <v>194</v>
      </c>
      <c r="C16" s="6">
        <v>130</v>
      </c>
      <c r="D16" s="6"/>
      <c r="E16" s="6" t="s">
        <v>122</v>
      </c>
      <c r="F16" s="95">
        <f t="shared" si="1"/>
        <v>2.1634687460015143</v>
      </c>
      <c r="G16" s="95">
        <f t="shared" si="0"/>
        <v>3.2802016263825546</v>
      </c>
      <c r="H16" s="95">
        <f t="shared" si="2"/>
        <v>7.0966136992619928</v>
      </c>
    </row>
    <row r="17" spans="1:8">
      <c r="A17" s="6" t="s">
        <v>124</v>
      </c>
      <c r="B17" s="6">
        <v>190</v>
      </c>
      <c r="C17" s="6">
        <v>95</v>
      </c>
      <c r="D17" s="6"/>
      <c r="E17" s="6" t="s">
        <v>124</v>
      </c>
      <c r="F17" s="95">
        <f t="shared" si="1"/>
        <v>1.3908013367152583</v>
      </c>
      <c r="G17" s="95">
        <f t="shared" si="0"/>
        <v>0.3477097509447668</v>
      </c>
      <c r="H17" s="95">
        <f t="shared" si="2"/>
        <v>0.48359518640291121</v>
      </c>
    </row>
    <row r="18" spans="1:8">
      <c r="A18" s="6" t="s">
        <v>126</v>
      </c>
      <c r="B18" s="6">
        <v>180</v>
      </c>
      <c r="C18" s="6">
        <v>84</v>
      </c>
      <c r="D18" s="6"/>
      <c r="E18" s="6" t="s">
        <v>126</v>
      </c>
      <c r="F18" s="95">
        <f t="shared" si="1"/>
        <v>-0.54086718650038124</v>
      </c>
      <c r="G18" s="95">
        <f t="shared" si="0"/>
        <v>-0.57393055276425231</v>
      </c>
      <c r="H18" s="95">
        <f t="shared" si="2"/>
        <v>0.31042020332020975</v>
      </c>
    </row>
    <row r="19" spans="1:8">
      <c r="A19" s="6" t="s">
        <v>128</v>
      </c>
      <c r="B19" s="6">
        <v>178</v>
      </c>
      <c r="C19" s="6">
        <v>94</v>
      </c>
      <c r="D19" s="6"/>
      <c r="E19" s="6" t="s">
        <v>128</v>
      </c>
      <c r="F19" s="95">
        <f t="shared" si="1"/>
        <v>-0.92720089114350912</v>
      </c>
      <c r="G19" s="95">
        <f t="shared" si="0"/>
        <v>0.2639242687894014</v>
      </c>
      <c r="H19" s="95">
        <f t="shared" si="2"/>
        <v>-0.24471081721593199</v>
      </c>
    </row>
    <row r="20" spans="1:8">
      <c r="A20" s="6" t="s">
        <v>130</v>
      </c>
      <c r="B20" s="6">
        <v>192</v>
      </c>
      <c r="C20" s="6">
        <v>105</v>
      </c>
      <c r="D20" s="6"/>
      <c r="E20" s="6" t="s">
        <v>130</v>
      </c>
      <c r="F20" s="95">
        <f t="shared" si="1"/>
        <v>1.7771350413583862</v>
      </c>
      <c r="G20" s="95">
        <f t="shared" si="0"/>
        <v>1.1855645724984205</v>
      </c>
      <c r="H20" s="95">
        <f t="shared" si="2"/>
        <v>2.1069083455800182</v>
      </c>
    </row>
    <row r="21" spans="1:8">
      <c r="A21" s="6" t="s">
        <v>132</v>
      </c>
      <c r="B21" s="6">
        <v>180</v>
      </c>
      <c r="C21" s="6">
        <v>86</v>
      </c>
      <c r="D21" s="6"/>
      <c r="E21" s="6" t="s">
        <v>132</v>
      </c>
      <c r="F21" s="95">
        <f t="shared" si="1"/>
        <v>-0.54086718650038124</v>
      </c>
      <c r="G21" s="95">
        <f t="shared" si="0"/>
        <v>-0.4063595884535216</v>
      </c>
      <c r="H21" s="95">
        <f t="shared" si="2"/>
        <v>0.21978656731430904</v>
      </c>
    </row>
    <row r="22" spans="1:8">
      <c r="A22" s="6" t="s">
        <v>133</v>
      </c>
      <c r="B22" s="95">
        <f>AVERAGE(B2:B21)</f>
        <v>182.8</v>
      </c>
      <c r="C22" s="95">
        <f>AVERAGE(C2:C21)</f>
        <v>90.85</v>
      </c>
      <c r="D22" s="6"/>
      <c r="E22" s="6"/>
      <c r="F22" s="7"/>
      <c r="G22" s="7" t="s">
        <v>134</v>
      </c>
      <c r="H22" s="95">
        <f>SUM(H2:H21)</f>
        <v>11.691739044761148</v>
      </c>
    </row>
    <row r="23" spans="1:8">
      <c r="A23" s="6" t="s">
        <v>135</v>
      </c>
      <c r="B23" s="95">
        <f>_xlfn.STDEV.S(B2:B21)</f>
        <v>5.1768716422179137</v>
      </c>
      <c r="C23" s="95">
        <f>_xlfn.STDEV.S(C2:C21)</f>
        <v>11.935241933031747</v>
      </c>
      <c r="D23" s="6"/>
      <c r="E23" s="6"/>
      <c r="F23" s="6"/>
    </row>
    <row r="24" spans="1:8">
      <c r="A24" s="6"/>
      <c r="B24" s="6"/>
      <c r="C24" s="6"/>
      <c r="D24" s="6"/>
      <c r="E24" s="6"/>
      <c r="F24" s="6"/>
      <c r="G24" s="1" t="s">
        <v>136</v>
      </c>
      <c r="H24" s="8">
        <f>H22/19</f>
        <v>0.61535468656637615</v>
      </c>
    </row>
    <row r="25" spans="1:8">
      <c r="A25" s="6"/>
      <c r="B25" s="6"/>
      <c r="C25" s="6"/>
      <c r="D25" s="6"/>
      <c r="E25" s="6"/>
      <c r="F25" s="6"/>
      <c r="G25" s="6"/>
      <c r="H25" s="6"/>
    </row>
    <row r="26" spans="1:8">
      <c r="A26" s="6"/>
      <c r="B26" s="6"/>
      <c r="C26" s="6"/>
      <c r="D26" s="6"/>
      <c r="E26" s="6"/>
      <c r="F26" s="6"/>
      <c r="G26" s="6"/>
      <c r="H26" s="6"/>
    </row>
    <row r="27" spans="1:8">
      <c r="A27" s="6"/>
      <c r="B27" s="6"/>
      <c r="C27" s="6"/>
      <c r="D27" s="6"/>
      <c r="E27" s="6"/>
      <c r="F27" s="6"/>
      <c r="G27" s="6"/>
      <c r="H27" s="7"/>
    </row>
    <row r="28" spans="1:8">
      <c r="A28" s="6"/>
      <c r="B28" s="6"/>
      <c r="C28" s="6"/>
      <c r="D28" s="6"/>
      <c r="E28" s="6"/>
      <c r="F28" s="6"/>
      <c r="G28" s="6"/>
      <c r="H28" s="6"/>
    </row>
    <row r="29" spans="1:8">
      <c r="A29" s="6"/>
      <c r="B29" s="6"/>
      <c r="C29" s="6"/>
      <c r="D29" s="6"/>
      <c r="E29" s="6"/>
      <c r="F29" s="6"/>
      <c r="G29" s="6"/>
      <c r="H29" s="7"/>
    </row>
    <row r="30" spans="1:8">
      <c r="A30" s="6"/>
      <c r="B30" s="6"/>
      <c r="C30" s="6"/>
      <c r="D30" s="6"/>
      <c r="E30" s="6"/>
      <c r="F30" s="6"/>
      <c r="G30" s="6"/>
      <c r="H30" s="7"/>
    </row>
    <row r="31" spans="1:8">
      <c r="A31" s="6"/>
      <c r="B31" s="6"/>
      <c r="C31" s="6"/>
      <c r="D31" s="6"/>
      <c r="E31" s="6"/>
      <c r="F31" s="6"/>
      <c r="G31" s="6"/>
      <c r="H31" s="6"/>
    </row>
    <row r="32" spans="1:8">
      <c r="A32" s="6"/>
      <c r="B32" s="6"/>
      <c r="C32" s="6"/>
      <c r="D32" s="6"/>
      <c r="E32" s="6"/>
      <c r="F32" s="6"/>
      <c r="G32" s="6"/>
      <c r="H32" s="6"/>
    </row>
    <row r="33" spans="1:8">
      <c r="A33" s="6"/>
      <c r="B33" s="6"/>
      <c r="C33" s="6"/>
      <c r="D33" s="6"/>
      <c r="E33" s="6"/>
      <c r="F33" s="6"/>
      <c r="G33" s="6"/>
      <c r="H33" s="6"/>
    </row>
    <row r="34" spans="1:8">
      <c r="A34" s="6"/>
      <c r="B34" s="6"/>
      <c r="C34" s="6"/>
      <c r="D34" s="6"/>
      <c r="E34" s="6"/>
      <c r="F34" s="6"/>
      <c r="G34" s="6"/>
      <c r="H34" s="6"/>
    </row>
    <row r="35" spans="1:8">
      <c r="A35" s="6" t="s">
        <v>138</v>
      </c>
      <c r="B35" s="6" t="s">
        <v>139</v>
      </c>
      <c r="C35" s="6" t="s">
        <v>140</v>
      </c>
      <c r="D35" s="6"/>
      <c r="E35" s="6" t="s">
        <v>138</v>
      </c>
      <c r="F35" s="6" t="s">
        <v>141</v>
      </c>
      <c r="G35" s="6" t="s">
        <v>142</v>
      </c>
      <c r="H35" s="6"/>
    </row>
    <row r="36" spans="1:8">
      <c r="A36" s="6" t="s">
        <v>143</v>
      </c>
      <c r="B36" s="6">
        <v>178</v>
      </c>
      <c r="C36" s="6">
        <v>80</v>
      </c>
      <c r="D36" s="6"/>
      <c r="E36" s="6" t="s">
        <v>143</v>
      </c>
      <c r="F36" s="6">
        <f t="shared" ref="F36:F55" si="3">B2/100</f>
        <v>1.78</v>
      </c>
      <c r="G36" s="6">
        <f t="shared" ref="G36:G55" si="4">C2*1000</f>
        <v>80000</v>
      </c>
      <c r="H36" s="6"/>
    </row>
    <row r="37" spans="1:8">
      <c r="A37" s="6" t="s">
        <v>100</v>
      </c>
      <c r="B37" s="6">
        <v>184</v>
      </c>
      <c r="C37" s="6">
        <v>80</v>
      </c>
      <c r="D37" s="6"/>
      <c r="E37" s="6" t="s">
        <v>100</v>
      </c>
      <c r="F37" s="6">
        <f t="shared" si="3"/>
        <v>1.84</v>
      </c>
      <c r="G37" s="6">
        <f t="shared" si="4"/>
        <v>80000</v>
      </c>
      <c r="H37" s="6"/>
    </row>
    <row r="38" spans="1:8">
      <c r="A38" s="6" t="s">
        <v>101</v>
      </c>
      <c r="B38" s="6">
        <v>188</v>
      </c>
      <c r="C38" s="6">
        <v>100</v>
      </c>
      <c r="D38" s="6"/>
      <c r="E38" s="6" t="s">
        <v>101</v>
      </c>
      <c r="F38" s="6">
        <f t="shared" si="3"/>
        <v>1.88</v>
      </c>
      <c r="G38" s="6">
        <f t="shared" si="4"/>
        <v>100000</v>
      </c>
      <c r="H38" s="6"/>
    </row>
    <row r="39" spans="1:8">
      <c r="A39" s="6" t="s">
        <v>102</v>
      </c>
      <c r="B39" s="6">
        <v>180</v>
      </c>
      <c r="C39" s="6">
        <v>90</v>
      </c>
      <c r="D39" s="6"/>
      <c r="E39" s="6" t="s">
        <v>102</v>
      </c>
      <c r="F39" s="6">
        <f t="shared" si="3"/>
        <v>1.8</v>
      </c>
      <c r="G39" s="6">
        <f t="shared" si="4"/>
        <v>90000</v>
      </c>
      <c r="H39" s="6"/>
    </row>
    <row r="40" spans="1:8">
      <c r="A40" s="6" t="s">
        <v>144</v>
      </c>
      <c r="B40" s="6">
        <v>185</v>
      </c>
      <c r="C40" s="6">
        <v>90</v>
      </c>
      <c r="D40" s="6"/>
      <c r="E40" s="6" t="s">
        <v>144</v>
      </c>
      <c r="F40" s="6">
        <f t="shared" si="3"/>
        <v>1.85</v>
      </c>
      <c r="G40" s="6">
        <f t="shared" si="4"/>
        <v>90000</v>
      </c>
      <c r="H40" s="6"/>
    </row>
    <row r="41" spans="1:8">
      <c r="A41" s="6" t="s">
        <v>145</v>
      </c>
      <c r="B41" s="6">
        <v>178</v>
      </c>
      <c r="C41" s="6">
        <v>94</v>
      </c>
      <c r="D41" s="6"/>
      <c r="E41" s="6" t="s">
        <v>145</v>
      </c>
      <c r="F41" s="6">
        <f t="shared" si="3"/>
        <v>1.78</v>
      </c>
      <c r="G41" s="6">
        <f t="shared" si="4"/>
        <v>94000</v>
      </c>
      <c r="H41" s="6"/>
    </row>
    <row r="42" spans="1:8">
      <c r="A42" s="6" t="s">
        <v>106</v>
      </c>
      <c r="B42" s="6">
        <v>183</v>
      </c>
      <c r="C42" s="6">
        <v>90</v>
      </c>
      <c r="D42" s="6"/>
      <c r="E42" s="6" t="s">
        <v>106</v>
      </c>
      <c r="F42" s="6">
        <f t="shared" si="3"/>
        <v>1.83</v>
      </c>
      <c r="G42" s="6">
        <f t="shared" si="4"/>
        <v>90000</v>
      </c>
      <c r="H42" s="6"/>
    </row>
    <row r="43" spans="1:8">
      <c r="A43" s="6" t="s">
        <v>108</v>
      </c>
      <c r="B43" s="6">
        <v>180</v>
      </c>
      <c r="C43" s="6">
        <v>100</v>
      </c>
      <c r="D43" s="6"/>
      <c r="E43" s="6" t="s">
        <v>108</v>
      </c>
      <c r="F43" s="6">
        <f t="shared" si="3"/>
        <v>1.8</v>
      </c>
      <c r="G43" s="6">
        <f t="shared" si="4"/>
        <v>100000</v>
      </c>
      <c r="H43" s="6"/>
    </row>
    <row r="44" spans="1:8">
      <c r="A44" s="6" t="s">
        <v>146</v>
      </c>
      <c r="B44" s="6">
        <v>175</v>
      </c>
      <c r="C44" s="6">
        <v>85</v>
      </c>
      <c r="D44" s="6"/>
      <c r="E44" s="6" t="s">
        <v>146</v>
      </c>
      <c r="F44" s="6">
        <f t="shared" si="3"/>
        <v>1.75</v>
      </c>
      <c r="G44" s="6">
        <f t="shared" si="4"/>
        <v>85000</v>
      </c>
      <c r="H44" s="6"/>
    </row>
    <row r="45" spans="1:8">
      <c r="A45" s="6" t="s">
        <v>147</v>
      </c>
      <c r="B45" s="6">
        <v>176</v>
      </c>
      <c r="C45" s="6">
        <v>84</v>
      </c>
      <c r="D45" s="6"/>
      <c r="E45" s="6" t="s">
        <v>147</v>
      </c>
      <c r="F45" s="6">
        <f t="shared" si="3"/>
        <v>1.76</v>
      </c>
      <c r="G45" s="6">
        <f t="shared" si="4"/>
        <v>84000</v>
      </c>
      <c r="H45" s="6"/>
    </row>
    <row r="46" spans="1:8">
      <c r="A46" s="6" t="s">
        <v>113</v>
      </c>
      <c r="B46" s="6">
        <v>183</v>
      </c>
      <c r="C46" s="6">
        <v>80</v>
      </c>
      <c r="D46" s="6"/>
      <c r="E46" s="6" t="s">
        <v>113</v>
      </c>
      <c r="F46" s="6">
        <f t="shared" si="3"/>
        <v>1.83</v>
      </c>
      <c r="G46" s="6">
        <f t="shared" si="4"/>
        <v>80000</v>
      </c>
      <c r="H46" s="6"/>
    </row>
    <row r="47" spans="1:8">
      <c r="A47" s="6" t="s">
        <v>115</v>
      </c>
      <c r="B47" s="6">
        <v>183</v>
      </c>
      <c r="C47" s="6">
        <v>81</v>
      </c>
      <c r="D47" s="6"/>
      <c r="E47" s="6" t="s">
        <v>115</v>
      </c>
      <c r="F47" s="6">
        <f t="shared" si="3"/>
        <v>1.83</v>
      </c>
      <c r="G47" s="6">
        <f t="shared" si="4"/>
        <v>81000</v>
      </c>
      <c r="H47" s="6"/>
    </row>
    <row r="48" spans="1:8">
      <c r="A48" s="6" t="s">
        <v>148</v>
      </c>
      <c r="B48" s="6">
        <v>185</v>
      </c>
      <c r="C48" s="6">
        <v>78</v>
      </c>
      <c r="D48" s="6"/>
      <c r="E48" s="6" t="s">
        <v>148</v>
      </c>
      <c r="F48" s="6">
        <f t="shared" si="3"/>
        <v>1.85</v>
      </c>
      <c r="G48" s="6">
        <f t="shared" si="4"/>
        <v>78000</v>
      </c>
      <c r="H48" s="6"/>
    </row>
    <row r="49" spans="1:8">
      <c r="A49" s="6" t="s">
        <v>119</v>
      </c>
      <c r="B49" s="6">
        <v>184</v>
      </c>
      <c r="C49" s="6">
        <v>91</v>
      </c>
      <c r="D49" s="6"/>
      <c r="E49" s="6" t="s">
        <v>119</v>
      </c>
      <c r="F49" s="6">
        <f t="shared" si="3"/>
        <v>1.84</v>
      </c>
      <c r="G49" s="6">
        <f t="shared" si="4"/>
        <v>91000</v>
      </c>
      <c r="H49" s="6"/>
    </row>
    <row r="50" spans="1:8">
      <c r="A50" s="6" t="s">
        <v>121</v>
      </c>
      <c r="B50" s="6">
        <v>194</v>
      </c>
      <c r="C50" s="6">
        <v>130</v>
      </c>
      <c r="D50" s="6"/>
      <c r="E50" s="6" t="s">
        <v>121</v>
      </c>
      <c r="F50" s="6">
        <f t="shared" si="3"/>
        <v>1.94</v>
      </c>
      <c r="G50" s="6">
        <f t="shared" si="4"/>
        <v>130000</v>
      </c>
      <c r="H50" s="6"/>
    </row>
    <row r="51" spans="1:8">
      <c r="A51" s="6" t="s">
        <v>123</v>
      </c>
      <c r="B51" s="6">
        <v>190</v>
      </c>
      <c r="C51" s="6">
        <v>95</v>
      </c>
      <c r="D51" s="6"/>
      <c r="E51" s="6" t="s">
        <v>123</v>
      </c>
      <c r="F51" s="6">
        <f t="shared" si="3"/>
        <v>1.9</v>
      </c>
      <c r="G51" s="6">
        <f t="shared" si="4"/>
        <v>95000</v>
      </c>
      <c r="H51" s="6"/>
    </row>
    <row r="52" spans="1:8">
      <c r="A52" s="6" t="s">
        <v>125</v>
      </c>
      <c r="B52" s="6">
        <v>180</v>
      </c>
      <c r="C52" s="6">
        <v>84</v>
      </c>
      <c r="D52" s="6"/>
      <c r="E52" s="6" t="s">
        <v>125</v>
      </c>
      <c r="F52" s="6">
        <f t="shared" si="3"/>
        <v>1.8</v>
      </c>
      <c r="G52" s="6">
        <f t="shared" si="4"/>
        <v>84000</v>
      </c>
      <c r="H52" s="6"/>
    </row>
    <row r="53" spans="1:8">
      <c r="A53" s="6" t="s">
        <v>127</v>
      </c>
      <c r="B53" s="6">
        <v>178</v>
      </c>
      <c r="C53" s="6">
        <v>94</v>
      </c>
      <c r="D53" s="6"/>
      <c r="E53" s="6" t="s">
        <v>127</v>
      </c>
      <c r="F53" s="6">
        <f t="shared" si="3"/>
        <v>1.78</v>
      </c>
      <c r="G53" s="6">
        <f t="shared" si="4"/>
        <v>94000</v>
      </c>
      <c r="H53" s="6"/>
    </row>
    <row r="54" spans="1:8">
      <c r="A54" s="6" t="s">
        <v>149</v>
      </c>
      <c r="B54" s="6">
        <v>192</v>
      </c>
      <c r="C54" s="6">
        <v>105</v>
      </c>
      <c r="D54" s="6"/>
      <c r="E54" s="6" t="s">
        <v>149</v>
      </c>
      <c r="F54" s="6">
        <f t="shared" si="3"/>
        <v>1.92</v>
      </c>
      <c r="G54" s="6">
        <f t="shared" si="4"/>
        <v>105000</v>
      </c>
      <c r="H54" s="6"/>
    </row>
    <row r="55" spans="1:8">
      <c r="A55" s="6" t="s">
        <v>150</v>
      </c>
      <c r="B55" s="6">
        <v>180</v>
      </c>
      <c r="C55" s="6">
        <v>86</v>
      </c>
      <c r="D55" s="6"/>
      <c r="E55" s="6" t="s">
        <v>150</v>
      </c>
      <c r="F55" s="6">
        <f t="shared" si="3"/>
        <v>1.8</v>
      </c>
      <c r="G55" s="6">
        <f t="shared" si="4"/>
        <v>86000</v>
      </c>
      <c r="H55" s="6"/>
    </row>
    <row r="56" spans="1:8">
      <c r="A56" s="6"/>
      <c r="B56" s="7"/>
      <c r="C56" s="7"/>
      <c r="D56" s="6"/>
      <c r="E56" s="6"/>
      <c r="F56" s="7"/>
      <c r="G56" s="7"/>
      <c r="H56" s="6"/>
    </row>
    <row r="57" spans="1:8">
      <c r="A57" s="6"/>
      <c r="B57" s="1" t="s">
        <v>137</v>
      </c>
      <c r="C57" s="8">
        <f>CORREL(B36:B55,C36:C55)</f>
        <v>0.61535468656637471</v>
      </c>
      <c r="D57" s="6"/>
      <c r="E57" s="6"/>
      <c r="F57" s="1" t="s">
        <v>137</v>
      </c>
      <c r="G57" s="8">
        <f>CORREL(F36:F55,G36:G55)</f>
        <v>0.6153546865663746</v>
      </c>
      <c r="H57" s="6"/>
    </row>
    <row r="60" spans="1:8">
      <c r="H6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J87"/>
  <sheetViews>
    <sheetView zoomScale="70" zoomScaleNormal="70" workbookViewId="0">
      <selection activeCell="CE53" sqref="CE53"/>
    </sheetView>
  </sheetViews>
  <sheetFormatPr defaultColWidth="5.796875" defaultRowHeight="17.399999999999999"/>
  <cols>
    <col min="1" max="7" width="5.796875" style="59"/>
    <col min="8" max="9" width="9" style="59" bestFit="1" customWidth="1"/>
    <col min="10" max="15" width="5.796875" style="59"/>
    <col min="16" max="34" width="7.296875" style="59" customWidth="1"/>
    <col min="35" max="35" width="7.8984375" style="59" bestFit="1" customWidth="1"/>
    <col min="36" max="38" width="9.59765625" style="59" customWidth="1"/>
    <col min="39" max="39" width="5.796875" style="59"/>
    <col min="40" max="42" width="7.09765625" style="59" customWidth="1"/>
    <col min="43" max="43" width="5.796875" style="59"/>
    <col min="44" max="46" width="9.69921875" style="59" customWidth="1"/>
    <col min="47" max="51" width="5.796875" style="59"/>
    <col min="52" max="53" width="12.59765625" style="59" customWidth="1"/>
    <col min="54" max="16384" width="5.796875" style="59"/>
  </cols>
  <sheetData>
    <row r="1" spans="1:57">
      <c r="A1" s="101" t="s">
        <v>421</v>
      </c>
      <c r="B1" s="101"/>
      <c r="C1" s="101"/>
      <c r="D1" s="101"/>
      <c r="E1" s="101"/>
      <c r="F1" s="101"/>
      <c r="G1" s="101"/>
      <c r="H1" s="101"/>
      <c r="P1" s="101" t="s">
        <v>420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F1" s="101" t="s">
        <v>428</v>
      </c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W1" s="101" t="s">
        <v>436</v>
      </c>
      <c r="AX1" s="101"/>
      <c r="AY1" s="101"/>
      <c r="AZ1" s="101"/>
      <c r="BA1" s="101"/>
      <c r="BB1" s="101"/>
      <c r="BC1" s="101"/>
      <c r="BD1" s="101"/>
      <c r="BE1" s="101"/>
    </row>
    <row r="2" spans="1:57">
      <c r="A2" s="99" t="s">
        <v>396</v>
      </c>
      <c r="B2" s="99"/>
      <c r="C2" s="99"/>
      <c r="E2" s="99" t="s">
        <v>422</v>
      </c>
      <c r="F2" s="99"/>
      <c r="G2" s="99"/>
      <c r="H2" s="99"/>
      <c r="P2" s="99" t="s">
        <v>396</v>
      </c>
      <c r="Q2" s="99"/>
      <c r="R2" s="99"/>
      <c r="T2" s="100" t="s">
        <v>397</v>
      </c>
      <c r="U2" s="100"/>
      <c r="V2" s="100"/>
      <c r="X2" s="102" t="s">
        <v>409</v>
      </c>
      <c r="Y2" s="102"/>
      <c r="Z2" s="102"/>
      <c r="AB2" s="102" t="s">
        <v>403</v>
      </c>
      <c r="AC2" s="102"/>
      <c r="AD2" s="102"/>
      <c r="AF2" s="99" t="s">
        <v>396</v>
      </c>
      <c r="AG2" s="99"/>
      <c r="AH2" s="99"/>
      <c r="AJ2" s="99" t="s">
        <v>429</v>
      </c>
      <c r="AK2" s="99"/>
      <c r="AL2" s="99"/>
      <c r="AN2" s="99" t="s">
        <v>409</v>
      </c>
      <c r="AO2" s="99"/>
      <c r="AP2" s="99"/>
      <c r="AW2" s="99" t="s">
        <v>396</v>
      </c>
      <c r="AX2" s="99"/>
      <c r="AZ2" s="62" t="s">
        <v>437</v>
      </c>
      <c r="BB2" s="98" t="s">
        <v>438</v>
      </c>
      <c r="BC2" s="98"/>
      <c r="BE2" s="63" t="s">
        <v>439</v>
      </c>
    </row>
    <row r="3" spans="1:57">
      <c r="A3" s="59">
        <v>1</v>
      </c>
      <c r="B3" s="59">
        <v>2</v>
      </c>
      <c r="C3" s="59">
        <v>3</v>
      </c>
      <c r="E3" s="59">
        <f t="array" ref="E3:H5">TRANSPOSE(A3:C6)</f>
        <v>1</v>
      </c>
      <c r="F3" s="59">
        <v>4</v>
      </c>
      <c r="G3" s="59">
        <v>7</v>
      </c>
      <c r="H3" s="59">
        <v>10</v>
      </c>
      <c r="P3" s="59">
        <v>1</v>
      </c>
      <c r="Q3" s="59">
        <v>2</v>
      </c>
      <c r="R3" s="59">
        <v>3</v>
      </c>
      <c r="T3" s="59">
        <v>9</v>
      </c>
      <c r="U3" s="59">
        <v>8</v>
      </c>
      <c r="V3" s="59">
        <v>7</v>
      </c>
      <c r="X3" s="81">
        <f t="array" ref="X3:Z5">MMULT(P3:R5,T3:V5)</f>
        <v>30</v>
      </c>
      <c r="Y3" s="81">
        <v>24</v>
      </c>
      <c r="Z3" s="81">
        <v>18</v>
      </c>
      <c r="AB3" s="81">
        <f t="array" ref="AB3:AD5">MMULT(T3:V5,P3:R5)</f>
        <v>90</v>
      </c>
      <c r="AC3" s="81">
        <v>114</v>
      </c>
      <c r="AD3" s="81">
        <v>138</v>
      </c>
      <c r="AF3" s="59">
        <v>1</v>
      </c>
      <c r="AG3" s="59">
        <v>-2</v>
      </c>
      <c r="AH3" s="59">
        <v>3</v>
      </c>
      <c r="AJ3" s="25">
        <f t="array" ref="AJ3:AL5">MINVERSE(AF3:AH5)</f>
        <v>0.5</v>
      </c>
      <c r="AK3" s="25">
        <v>0</v>
      </c>
      <c r="AL3" s="25">
        <v>0.5</v>
      </c>
      <c r="AM3" s="92"/>
      <c r="AN3" s="92">
        <f t="array" ref="AN3:AP5">MMULT(AF3:AH5,AJ3:AL5)</f>
        <v>1</v>
      </c>
      <c r="AO3" s="92">
        <v>0</v>
      </c>
      <c r="AP3" s="92">
        <v>0</v>
      </c>
      <c r="AW3" s="59">
        <v>1</v>
      </c>
      <c r="AX3" s="59">
        <v>1</v>
      </c>
      <c r="AZ3" s="59">
        <v>2</v>
      </c>
      <c r="BB3" s="81">
        <f t="array" ref="BB3:BC4">MINVERSE(AW3:AX4)</f>
        <v>0.5</v>
      </c>
      <c r="BC3" s="81">
        <v>0.25</v>
      </c>
      <c r="BE3" s="81">
        <f t="array" ref="BE3:BE4">MMULT(BB3:BC4,AZ3:AZ4)</f>
        <v>2</v>
      </c>
    </row>
    <row r="4" spans="1:57">
      <c r="A4" s="59">
        <v>4</v>
      </c>
      <c r="B4" s="59">
        <v>5</v>
      </c>
      <c r="C4" s="59">
        <v>6</v>
      </c>
      <c r="E4" s="59">
        <v>2</v>
      </c>
      <c r="F4" s="59">
        <v>5</v>
      </c>
      <c r="G4" s="59">
        <v>8</v>
      </c>
      <c r="H4" s="59">
        <v>11</v>
      </c>
      <c r="P4" s="59">
        <v>4</v>
      </c>
      <c r="Q4" s="59">
        <v>5</v>
      </c>
      <c r="R4" s="59">
        <v>6</v>
      </c>
      <c r="T4" s="59">
        <v>6</v>
      </c>
      <c r="U4" s="59">
        <v>5</v>
      </c>
      <c r="V4" s="59">
        <v>4</v>
      </c>
      <c r="X4" s="81">
        <v>84</v>
      </c>
      <c r="Y4" s="81">
        <v>69</v>
      </c>
      <c r="Z4" s="81">
        <v>54</v>
      </c>
      <c r="AB4" s="81">
        <v>54</v>
      </c>
      <c r="AC4" s="81">
        <v>69</v>
      </c>
      <c r="AD4" s="81">
        <v>84</v>
      </c>
      <c r="AF4" s="59">
        <v>-1</v>
      </c>
      <c r="AG4" s="59">
        <v>2</v>
      </c>
      <c r="AH4" s="59">
        <v>3</v>
      </c>
      <c r="AJ4" s="25">
        <v>0</v>
      </c>
      <c r="AK4" s="25">
        <v>0.25</v>
      </c>
      <c r="AL4" s="25">
        <v>0.25</v>
      </c>
      <c r="AM4" s="92"/>
      <c r="AN4" s="92">
        <v>0</v>
      </c>
      <c r="AO4" s="92">
        <v>1</v>
      </c>
      <c r="AP4" s="92">
        <v>0</v>
      </c>
      <c r="AW4" s="59">
        <v>2</v>
      </c>
      <c r="AX4" s="59">
        <v>-2</v>
      </c>
      <c r="AZ4" s="59">
        <v>4</v>
      </c>
      <c r="BB4" s="81">
        <v>0.5</v>
      </c>
      <c r="BC4" s="81">
        <v>-0.25</v>
      </c>
      <c r="BE4" s="81">
        <v>0</v>
      </c>
    </row>
    <row r="5" spans="1:57">
      <c r="A5" s="59">
        <v>7</v>
      </c>
      <c r="B5" s="59">
        <v>8</v>
      </c>
      <c r="C5" s="59">
        <v>9</v>
      </c>
      <c r="E5" s="59">
        <v>3</v>
      </c>
      <c r="F5" s="59">
        <v>6</v>
      </c>
      <c r="G5" s="59">
        <v>9</v>
      </c>
      <c r="H5" s="59">
        <v>12</v>
      </c>
      <c r="P5" s="59">
        <v>7</v>
      </c>
      <c r="Q5" s="59">
        <v>8</v>
      </c>
      <c r="R5" s="59">
        <v>9</v>
      </c>
      <c r="T5" s="59">
        <v>3</v>
      </c>
      <c r="U5" s="59">
        <v>2</v>
      </c>
      <c r="V5" s="59">
        <v>1</v>
      </c>
      <c r="X5" s="81">
        <v>138</v>
      </c>
      <c r="Y5" s="81">
        <v>114</v>
      </c>
      <c r="Z5" s="81">
        <v>90</v>
      </c>
      <c r="AB5" s="81">
        <v>18</v>
      </c>
      <c r="AC5" s="81">
        <v>24</v>
      </c>
      <c r="AD5" s="81">
        <v>30</v>
      </c>
      <c r="AF5" s="59">
        <v>1</v>
      </c>
      <c r="AG5" s="59">
        <v>2</v>
      </c>
      <c r="AH5" s="59">
        <v>-3</v>
      </c>
      <c r="AJ5" s="25">
        <v>0.16666666666666666</v>
      </c>
      <c r="AK5" s="25">
        <v>0.16666666666666666</v>
      </c>
      <c r="AL5" s="25">
        <v>0</v>
      </c>
      <c r="AM5" s="92"/>
      <c r="AN5" s="92">
        <v>0</v>
      </c>
      <c r="AO5" s="92">
        <v>0</v>
      </c>
      <c r="AP5" s="92">
        <v>1</v>
      </c>
    </row>
    <row r="6" spans="1:57">
      <c r="A6" s="59">
        <v>10</v>
      </c>
      <c r="B6" s="59">
        <v>11</v>
      </c>
      <c r="C6" s="59">
        <v>12</v>
      </c>
    </row>
    <row r="7" spans="1:57">
      <c r="P7" s="101" t="s">
        <v>419</v>
      </c>
      <c r="Q7" s="101"/>
      <c r="R7" s="101"/>
      <c r="S7" s="101"/>
      <c r="T7" s="101"/>
      <c r="U7" s="101"/>
      <c r="V7" s="101"/>
      <c r="W7" s="101"/>
      <c r="X7" s="101"/>
      <c r="Y7" s="101"/>
      <c r="Z7" s="101"/>
      <c r="AF7" s="101" t="s">
        <v>432</v>
      </c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W7" s="64" t="s">
        <v>440</v>
      </c>
      <c r="AX7" s="64" t="s">
        <v>441</v>
      </c>
      <c r="AZ7" s="102" t="s">
        <v>442</v>
      </c>
      <c r="BA7" s="102"/>
      <c r="BC7" s="98" t="s">
        <v>443</v>
      </c>
      <c r="BD7" s="98"/>
    </row>
    <row r="8" spans="1:57">
      <c r="A8" s="101" t="s">
        <v>423</v>
      </c>
      <c r="B8" s="101"/>
      <c r="C8" s="101"/>
      <c r="D8" s="101"/>
      <c r="E8" s="101"/>
      <c r="F8" s="101"/>
      <c r="G8" s="101"/>
      <c r="H8" s="101"/>
      <c r="I8" s="101"/>
      <c r="P8" s="99" t="s">
        <v>396</v>
      </c>
      <c r="Q8" s="99"/>
      <c r="R8" s="99"/>
      <c r="T8" s="100" t="s">
        <v>397</v>
      </c>
      <c r="U8" s="100"/>
      <c r="V8" s="100"/>
      <c r="X8" s="103" t="s">
        <v>404</v>
      </c>
      <c r="Y8" s="103"/>
      <c r="Z8" s="103"/>
      <c r="AF8" s="99" t="s">
        <v>396</v>
      </c>
      <c r="AG8" s="99"/>
      <c r="AH8" s="99"/>
      <c r="AJ8" s="99" t="s">
        <v>431</v>
      </c>
      <c r="AK8" s="99"/>
      <c r="AL8" s="99"/>
      <c r="AN8" s="99" t="s">
        <v>432</v>
      </c>
      <c r="AO8" s="99"/>
      <c r="AP8" s="99"/>
      <c r="AW8" s="59">
        <v>0</v>
      </c>
      <c r="AX8" s="59">
        <v>0</v>
      </c>
      <c r="AZ8" s="59">
        <v>2</v>
      </c>
      <c r="BA8" s="59">
        <v>0</v>
      </c>
      <c r="BC8" s="81">
        <f t="array" ref="BC8:BD11">MMULT(AW8:AX11,AZ8:BA9)</f>
        <v>0</v>
      </c>
      <c r="BD8" s="81">
        <v>0</v>
      </c>
    </row>
    <row r="9" spans="1:57">
      <c r="A9" s="104" t="s">
        <v>398</v>
      </c>
      <c r="B9" s="99" t="s">
        <v>396</v>
      </c>
      <c r="C9" s="99"/>
      <c r="D9" s="59" t="s">
        <v>400</v>
      </c>
      <c r="E9" s="102" t="s">
        <v>397</v>
      </c>
      <c r="F9" s="102"/>
      <c r="G9" s="59" t="s">
        <v>401</v>
      </c>
      <c r="H9" s="98" t="s">
        <v>402</v>
      </c>
      <c r="I9" s="98"/>
      <c r="P9" s="59">
        <v>1</v>
      </c>
      <c r="Q9" s="59">
        <v>2</v>
      </c>
      <c r="R9" s="59">
        <v>3</v>
      </c>
      <c r="T9" s="59">
        <v>9</v>
      </c>
      <c r="U9" s="59">
        <v>8</v>
      </c>
      <c r="V9" s="59">
        <v>7</v>
      </c>
      <c r="X9" s="59">
        <v>1</v>
      </c>
      <c r="Y9" s="59">
        <v>2</v>
      </c>
      <c r="Z9" s="59">
        <v>3</v>
      </c>
      <c r="AF9" s="59">
        <v>1</v>
      </c>
      <c r="AG9" s="59">
        <v>-2</v>
      </c>
      <c r="AH9" s="59">
        <v>3</v>
      </c>
      <c r="AJ9" s="81">
        <f t="array" ref="AJ9:AL11">MINVERSE(AF9:AH11)</f>
        <v>0.5</v>
      </c>
      <c r="AK9" s="81">
        <v>0</v>
      </c>
      <c r="AL9" s="81">
        <v>0.5</v>
      </c>
      <c r="AN9" s="81">
        <f t="array" ref="AN9:AP11">MINVERSE(AJ9:AL11)</f>
        <v>1</v>
      </c>
      <c r="AO9" s="81">
        <v>-2</v>
      </c>
      <c r="AP9" s="81">
        <v>3</v>
      </c>
      <c r="AW9" s="59">
        <v>1</v>
      </c>
      <c r="AX9" s="59">
        <v>0</v>
      </c>
      <c r="AZ9" s="59">
        <v>0</v>
      </c>
      <c r="BA9" s="59">
        <v>2</v>
      </c>
      <c r="BC9" s="81">
        <v>2</v>
      </c>
      <c r="BD9" s="81">
        <v>0</v>
      </c>
    </row>
    <row r="10" spans="1:57">
      <c r="A10" s="104"/>
      <c r="B10" s="59">
        <v>1</v>
      </c>
      <c r="C10" s="59">
        <v>2</v>
      </c>
      <c r="E10" s="59">
        <v>5</v>
      </c>
      <c r="F10" s="59">
        <v>6</v>
      </c>
      <c r="H10" s="59">
        <f t="array" ref="H10:I11">B10:C11+E10:F11</f>
        <v>6</v>
      </c>
      <c r="I10" s="59">
        <v>8</v>
      </c>
      <c r="P10" s="59">
        <v>4</v>
      </c>
      <c r="Q10" s="59">
        <v>5</v>
      </c>
      <c r="R10" s="59">
        <v>6</v>
      </c>
      <c r="T10" s="59">
        <v>6</v>
      </c>
      <c r="U10" s="59">
        <v>5</v>
      </c>
      <c r="V10" s="59">
        <v>4</v>
      </c>
      <c r="X10" s="59">
        <v>6</v>
      </c>
      <c r="Y10" s="59">
        <v>5</v>
      </c>
      <c r="Z10" s="59">
        <v>4</v>
      </c>
      <c r="AF10" s="59">
        <v>-1</v>
      </c>
      <c r="AG10" s="59">
        <v>2</v>
      </c>
      <c r="AH10" s="59">
        <v>3</v>
      </c>
      <c r="AJ10" s="81">
        <v>0</v>
      </c>
      <c r="AK10" s="81">
        <v>0.25</v>
      </c>
      <c r="AL10" s="81">
        <v>0.25</v>
      </c>
      <c r="AN10" s="81">
        <v>-1</v>
      </c>
      <c r="AO10" s="81">
        <v>2</v>
      </c>
      <c r="AP10" s="81">
        <v>3</v>
      </c>
      <c r="AQ10" s="59" t="s">
        <v>430</v>
      </c>
      <c r="AW10" s="59">
        <v>0</v>
      </c>
      <c r="AX10" s="59">
        <v>1</v>
      </c>
      <c r="BC10" s="81">
        <v>0</v>
      </c>
      <c r="BD10" s="81">
        <v>2</v>
      </c>
    </row>
    <row r="11" spans="1:57">
      <c r="A11" s="104"/>
      <c r="B11" s="59">
        <v>3</v>
      </c>
      <c r="C11" s="59">
        <v>4</v>
      </c>
      <c r="E11" s="59">
        <v>7</v>
      </c>
      <c r="F11" s="59">
        <v>8</v>
      </c>
      <c r="H11" s="59">
        <v>10</v>
      </c>
      <c r="I11" s="59">
        <v>12</v>
      </c>
      <c r="P11" s="59">
        <v>7</v>
      </c>
      <c r="Q11" s="59">
        <v>8</v>
      </c>
      <c r="R11" s="59">
        <v>9</v>
      </c>
      <c r="T11" s="59">
        <v>3</v>
      </c>
      <c r="U11" s="59">
        <v>2</v>
      </c>
      <c r="V11" s="59">
        <v>1</v>
      </c>
      <c r="X11" s="59">
        <v>1</v>
      </c>
      <c r="Y11" s="59">
        <v>2</v>
      </c>
      <c r="Z11" s="59">
        <v>3</v>
      </c>
      <c r="AF11" s="59">
        <v>1</v>
      </c>
      <c r="AG11" s="59">
        <v>2</v>
      </c>
      <c r="AH11" s="59">
        <v>-3</v>
      </c>
      <c r="AJ11" s="81">
        <v>0.16666666666666666</v>
      </c>
      <c r="AK11" s="81">
        <v>0.16666666666666666</v>
      </c>
      <c r="AL11" s="81">
        <v>0</v>
      </c>
      <c r="AN11" s="81">
        <v>1</v>
      </c>
      <c r="AO11" s="81">
        <v>2</v>
      </c>
      <c r="AP11" s="81">
        <v>-3</v>
      </c>
      <c r="AW11" s="59">
        <v>1</v>
      </c>
      <c r="AX11" s="59">
        <v>1</v>
      </c>
      <c r="BC11" s="81">
        <v>2</v>
      </c>
      <c r="BD11" s="81">
        <v>2</v>
      </c>
    </row>
    <row r="13" spans="1:57">
      <c r="A13" s="104" t="s">
        <v>399</v>
      </c>
      <c r="B13" s="99" t="s">
        <v>396</v>
      </c>
      <c r="C13" s="99"/>
      <c r="D13" s="59" t="s">
        <v>545</v>
      </c>
      <c r="E13" s="102" t="s">
        <v>397</v>
      </c>
      <c r="F13" s="102"/>
      <c r="G13" s="59" t="s">
        <v>401</v>
      </c>
      <c r="H13" s="98" t="s">
        <v>546</v>
      </c>
      <c r="I13" s="98"/>
      <c r="P13" s="102" t="s">
        <v>407</v>
      </c>
      <c r="Q13" s="102"/>
      <c r="R13" s="102"/>
      <c r="T13" s="102" t="s">
        <v>405</v>
      </c>
      <c r="U13" s="102"/>
      <c r="V13" s="102"/>
      <c r="AF13" s="101" t="s">
        <v>432</v>
      </c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W13" s="64" t="s">
        <v>440</v>
      </c>
      <c r="AX13" s="64" t="s">
        <v>441</v>
      </c>
      <c r="AZ13" s="102" t="s">
        <v>444</v>
      </c>
      <c r="BA13" s="102"/>
      <c r="BC13" s="98" t="s">
        <v>445</v>
      </c>
      <c r="BD13" s="98"/>
    </row>
    <row r="14" spans="1:57">
      <c r="A14" s="104"/>
      <c r="B14" s="59">
        <v>1</v>
      </c>
      <c r="C14" s="59">
        <v>2</v>
      </c>
      <c r="E14" s="59">
        <v>9</v>
      </c>
      <c r="F14" s="59">
        <v>8</v>
      </c>
      <c r="H14" s="59">
        <f t="array" ref="H14:I15">B14:C15-E14:F15</f>
        <v>-8</v>
      </c>
      <c r="I14" s="59">
        <v>-6</v>
      </c>
      <c r="P14" s="81">
        <f t="array" ref="P14:R16">MMULT(P9:R11,T9:V11)</f>
        <v>30</v>
      </c>
      <c r="Q14" s="81">
        <v>24</v>
      </c>
      <c r="R14" s="81">
        <v>18</v>
      </c>
      <c r="T14" s="81">
        <f t="array" ref="T14:V16">MMULT(P14:R16,X9:Z11)</f>
        <v>192</v>
      </c>
      <c r="U14" s="81">
        <v>216</v>
      </c>
      <c r="V14" s="81">
        <v>240</v>
      </c>
      <c r="AF14" s="99" t="s">
        <v>396</v>
      </c>
      <c r="AG14" s="99"/>
      <c r="AH14" s="99"/>
      <c r="AJ14" s="100" t="s">
        <v>397</v>
      </c>
      <c r="AK14" s="100"/>
      <c r="AL14" s="100"/>
      <c r="AN14" s="102" t="s">
        <v>409</v>
      </c>
      <c r="AO14" s="102"/>
      <c r="AP14" s="102"/>
      <c r="AR14" s="102" t="s">
        <v>433</v>
      </c>
      <c r="AS14" s="102"/>
      <c r="AT14" s="102"/>
      <c r="AW14" s="59">
        <v>0</v>
      </c>
      <c r="AX14" s="59">
        <v>0</v>
      </c>
      <c r="AZ14" s="59">
        <v>0.5</v>
      </c>
      <c r="BA14" s="59">
        <v>0</v>
      </c>
      <c r="BC14" s="81">
        <f t="array" ref="BC14:BD17">MMULT(AW14:AX17,AZ14:BA15)</f>
        <v>0</v>
      </c>
      <c r="BD14" s="81">
        <v>0</v>
      </c>
    </row>
    <row r="15" spans="1:57">
      <c r="A15" s="104"/>
      <c r="B15" s="59">
        <v>3</v>
      </c>
      <c r="C15" s="59">
        <v>4</v>
      </c>
      <c r="E15" s="59">
        <v>7</v>
      </c>
      <c r="F15" s="59">
        <v>6</v>
      </c>
      <c r="H15" s="59">
        <v>-4</v>
      </c>
      <c r="I15" s="59">
        <v>-2</v>
      </c>
      <c r="P15" s="81">
        <v>84</v>
      </c>
      <c r="Q15" s="81">
        <v>69</v>
      </c>
      <c r="R15" s="81">
        <v>54</v>
      </c>
      <c r="T15" s="81">
        <v>552</v>
      </c>
      <c r="U15" s="81">
        <v>621</v>
      </c>
      <c r="V15" s="81">
        <v>690</v>
      </c>
      <c r="AF15" s="59">
        <v>1</v>
      </c>
      <c r="AG15" s="59">
        <v>-2</v>
      </c>
      <c r="AH15" s="59">
        <v>3</v>
      </c>
      <c r="AJ15" s="59">
        <v>1</v>
      </c>
      <c r="AK15" s="59">
        <v>2</v>
      </c>
      <c r="AL15" s="59">
        <v>-1</v>
      </c>
      <c r="AN15" s="81">
        <f t="array" ref="AN15:AP17">MMULT(AF15:AH17,AJ15:AL17)</f>
        <v>6</v>
      </c>
      <c r="AO15" s="81">
        <v>2</v>
      </c>
      <c r="AP15" s="81">
        <v>10</v>
      </c>
      <c r="AR15" s="82">
        <f t="array" ref="AR15:AT17">MINVERSE(AN15:AP17)</f>
        <v>-0.38888888888888884</v>
      </c>
      <c r="AS15" s="82">
        <v>0.15277777777777782</v>
      </c>
      <c r="AT15" s="82">
        <v>-0.37500000000000006</v>
      </c>
      <c r="AW15" s="59">
        <v>1</v>
      </c>
      <c r="AX15" s="59">
        <v>0</v>
      </c>
      <c r="AZ15" s="59">
        <v>0</v>
      </c>
      <c r="BA15" s="59">
        <v>0.5</v>
      </c>
      <c r="BC15" s="81">
        <v>0.5</v>
      </c>
      <c r="BD15" s="81">
        <v>0</v>
      </c>
    </row>
    <row r="16" spans="1:57">
      <c r="P16" s="81">
        <v>138</v>
      </c>
      <c r="Q16" s="81">
        <v>114</v>
      </c>
      <c r="R16" s="81">
        <v>90</v>
      </c>
      <c r="T16" s="81">
        <v>912</v>
      </c>
      <c r="U16" s="81">
        <v>1026</v>
      </c>
      <c r="V16" s="81">
        <v>1140</v>
      </c>
      <c r="AF16" s="59">
        <v>-1</v>
      </c>
      <c r="AG16" s="59">
        <v>2</v>
      </c>
      <c r="AH16" s="59">
        <v>3</v>
      </c>
      <c r="AJ16" s="59">
        <v>2</v>
      </c>
      <c r="AK16" s="59">
        <v>3</v>
      </c>
      <c r="AL16" s="59">
        <v>-4</v>
      </c>
      <c r="AN16" s="81">
        <v>12</v>
      </c>
      <c r="AO16" s="81">
        <v>10</v>
      </c>
      <c r="AP16" s="81">
        <v>-4</v>
      </c>
      <c r="AR16" s="82">
        <v>0.55555555555555558</v>
      </c>
      <c r="AS16" s="82">
        <v>-0.11111111111111115</v>
      </c>
      <c r="AT16" s="82">
        <v>0.50000000000000011</v>
      </c>
      <c r="AW16" s="59">
        <v>0</v>
      </c>
      <c r="AX16" s="59">
        <v>1</v>
      </c>
      <c r="BC16" s="81">
        <v>0</v>
      </c>
      <c r="BD16" s="81">
        <v>0.5</v>
      </c>
    </row>
    <row r="17" spans="1:62">
      <c r="A17" s="101" t="s">
        <v>424</v>
      </c>
      <c r="B17" s="101"/>
      <c r="C17" s="101"/>
      <c r="D17" s="101"/>
      <c r="E17" s="101"/>
      <c r="F17" s="101"/>
      <c r="G17" s="101"/>
      <c r="H17" s="101"/>
      <c r="I17" s="101"/>
      <c r="AF17" s="59">
        <v>1</v>
      </c>
      <c r="AG17" s="59">
        <v>2</v>
      </c>
      <c r="AH17" s="59">
        <v>-3</v>
      </c>
      <c r="AJ17" s="59">
        <v>3</v>
      </c>
      <c r="AK17" s="59">
        <v>2</v>
      </c>
      <c r="AL17" s="59">
        <v>1</v>
      </c>
      <c r="AN17" s="81">
        <v>-4</v>
      </c>
      <c r="AO17" s="81">
        <v>2</v>
      </c>
      <c r="AP17" s="81">
        <v>-12</v>
      </c>
      <c r="AR17" s="82">
        <v>0.22222222222222221</v>
      </c>
      <c r="AS17" s="82">
        <v>-6.9444444444444448E-2</v>
      </c>
      <c r="AT17" s="82">
        <v>0.125</v>
      </c>
      <c r="AW17" s="59">
        <v>1</v>
      </c>
      <c r="AX17" s="59">
        <v>1</v>
      </c>
      <c r="BC17" s="81">
        <v>0.5</v>
      </c>
      <c r="BD17" s="81">
        <v>0.5</v>
      </c>
    </row>
    <row r="18" spans="1:62">
      <c r="A18" s="99" t="s">
        <v>396</v>
      </c>
      <c r="B18" s="99"/>
      <c r="C18" s="99"/>
      <c r="E18" s="102" t="s">
        <v>397</v>
      </c>
      <c r="F18" s="102"/>
      <c r="H18" s="98" t="s">
        <v>409</v>
      </c>
      <c r="I18" s="98"/>
      <c r="P18" s="102" t="s">
        <v>408</v>
      </c>
      <c r="Q18" s="102"/>
      <c r="R18" s="102"/>
      <c r="T18" s="102" t="s">
        <v>406</v>
      </c>
      <c r="U18" s="102"/>
      <c r="V18" s="102"/>
    </row>
    <row r="19" spans="1:62">
      <c r="A19" s="59">
        <v>1</v>
      </c>
      <c r="B19" s="59">
        <v>2</v>
      </c>
      <c r="C19" s="59">
        <v>3</v>
      </c>
      <c r="E19" s="59">
        <v>7</v>
      </c>
      <c r="F19" s="59">
        <v>8</v>
      </c>
      <c r="H19" s="59">
        <f t="array" ref="H19:I20">MMULT(A19:C20,E19:F21)</f>
        <v>58</v>
      </c>
      <c r="I19" s="59">
        <v>64</v>
      </c>
      <c r="P19" s="81">
        <f t="array" ref="P19:R21">MMULT(T9:V11,X9:Z11)</f>
        <v>64</v>
      </c>
      <c r="Q19" s="81">
        <v>72</v>
      </c>
      <c r="R19" s="81">
        <v>80</v>
      </c>
      <c r="T19" s="81">
        <f t="array" ref="T19:V21">MMULT(P9:R11,P19:R21)</f>
        <v>192</v>
      </c>
      <c r="U19" s="81">
        <v>216</v>
      </c>
      <c r="V19" s="81">
        <v>240</v>
      </c>
      <c r="AF19" s="99" t="s">
        <v>431</v>
      </c>
      <c r="AG19" s="99"/>
      <c r="AH19" s="99"/>
      <c r="AJ19" s="100" t="s">
        <v>434</v>
      </c>
      <c r="AK19" s="100"/>
      <c r="AL19" s="100"/>
      <c r="AR19" s="102" t="s">
        <v>547</v>
      </c>
      <c r="AS19" s="102"/>
      <c r="AT19" s="102"/>
      <c r="AW19" s="64" t="s">
        <v>440</v>
      </c>
      <c r="AX19" s="64" t="s">
        <v>441</v>
      </c>
      <c r="AZ19" s="102" t="s">
        <v>446</v>
      </c>
      <c r="BA19" s="102"/>
      <c r="BC19" s="99" t="s">
        <v>447</v>
      </c>
      <c r="BD19" s="99"/>
      <c r="BF19" s="100" t="s">
        <v>451</v>
      </c>
      <c r="BG19" s="100"/>
      <c r="BI19" s="98" t="s">
        <v>452</v>
      </c>
      <c r="BJ19" s="98"/>
    </row>
    <row r="20" spans="1:62">
      <c r="A20" s="59">
        <v>4</v>
      </c>
      <c r="B20" s="59">
        <v>5</v>
      </c>
      <c r="C20" s="59">
        <v>6</v>
      </c>
      <c r="E20" s="59">
        <v>9</v>
      </c>
      <c r="F20" s="59">
        <v>10</v>
      </c>
      <c r="H20" s="59">
        <v>139</v>
      </c>
      <c r="I20" s="59">
        <v>154</v>
      </c>
      <c r="P20" s="81">
        <v>40</v>
      </c>
      <c r="Q20" s="81">
        <v>45</v>
      </c>
      <c r="R20" s="81">
        <v>50</v>
      </c>
      <c r="T20" s="81">
        <v>552</v>
      </c>
      <c r="U20" s="81">
        <v>621</v>
      </c>
      <c r="V20" s="81">
        <v>690</v>
      </c>
      <c r="AF20" s="82">
        <f t="array" ref="AF20:AH22">MINVERSE(AF15:AH17)</f>
        <v>0.5</v>
      </c>
      <c r="AG20" s="82">
        <v>0</v>
      </c>
      <c r="AH20" s="82">
        <v>0.5</v>
      </c>
      <c r="AI20" s="60"/>
      <c r="AJ20" s="82">
        <f t="array" ref="AJ20:AL22">MINVERSE(AJ15:AL17)</f>
        <v>-0.91666666666666652</v>
      </c>
      <c r="AK20" s="82">
        <v>0.33333333333333331</v>
      </c>
      <c r="AL20" s="82">
        <v>0.41666666666666669</v>
      </c>
      <c r="AM20" s="60"/>
      <c r="AN20" s="60"/>
      <c r="AO20" s="60"/>
      <c r="AP20" s="60"/>
      <c r="AQ20" s="60"/>
      <c r="AR20" s="82">
        <f t="array" ref="AR20:AT22">MMULT(AJ20:AL22,AF20:AH22)</f>
        <v>-0.38888888888888884</v>
      </c>
      <c r="AS20" s="82">
        <v>0.15277777777777779</v>
      </c>
      <c r="AT20" s="82">
        <v>-0.37499999999999994</v>
      </c>
      <c r="AU20" s="61"/>
      <c r="AW20" s="59">
        <v>0</v>
      </c>
      <c r="AX20" s="59">
        <v>0</v>
      </c>
      <c r="AZ20" s="60">
        <f>SQRT(2)/2</f>
        <v>0.70710678118654757</v>
      </c>
      <c r="BA20" s="60">
        <f>-SQRT(2)/2</f>
        <v>-0.70710678118654757</v>
      </c>
      <c r="BC20" s="81">
        <f t="array" ref="BC20:BD23">MMULT(AW20:AX23,AZ20:BA21)</f>
        <v>0</v>
      </c>
      <c r="BD20" s="81">
        <v>0</v>
      </c>
      <c r="BF20" s="92">
        <v>2</v>
      </c>
      <c r="BG20" s="92">
        <v>3</v>
      </c>
      <c r="BI20" s="81">
        <f>BC20+$BF$20</f>
        <v>2</v>
      </c>
      <c r="BJ20" s="81">
        <f>BD20+$BG$20</f>
        <v>3</v>
      </c>
    </row>
    <row r="21" spans="1:62">
      <c r="E21" s="59">
        <v>11</v>
      </c>
      <c r="F21" s="59">
        <v>12</v>
      </c>
      <c r="P21" s="81">
        <v>16</v>
      </c>
      <c r="Q21" s="81">
        <v>18</v>
      </c>
      <c r="R21" s="81">
        <v>20</v>
      </c>
      <c r="T21" s="81">
        <v>912</v>
      </c>
      <c r="U21" s="81">
        <v>1026</v>
      </c>
      <c r="V21" s="81">
        <v>1140</v>
      </c>
      <c r="AF21" s="82">
        <v>0</v>
      </c>
      <c r="AG21" s="82">
        <v>0.25</v>
      </c>
      <c r="AH21" s="82">
        <v>0.25</v>
      </c>
      <c r="AI21" s="60"/>
      <c r="AJ21" s="82">
        <v>1.1666666666666665</v>
      </c>
      <c r="AK21" s="82">
        <v>-0.33333333333333331</v>
      </c>
      <c r="AL21" s="82">
        <v>-0.16666666666666663</v>
      </c>
      <c r="AM21" s="60"/>
      <c r="AN21" s="60"/>
      <c r="AO21" s="60"/>
      <c r="AP21" s="60"/>
      <c r="AQ21" s="60"/>
      <c r="AR21" s="82">
        <v>0.55555555555555547</v>
      </c>
      <c r="AS21" s="82">
        <v>-0.1111111111111111</v>
      </c>
      <c r="AT21" s="82">
        <v>0.49999999999999994</v>
      </c>
      <c r="AU21" s="61"/>
      <c r="AW21" s="59">
        <v>1</v>
      </c>
      <c r="AX21" s="59">
        <v>0</v>
      </c>
      <c r="AZ21" s="60">
        <f>SQRT(2)/2</f>
        <v>0.70710678118654757</v>
      </c>
      <c r="BA21" s="60">
        <f>SQRT(2)/2</f>
        <v>0.70710678118654757</v>
      </c>
      <c r="BC21" s="81">
        <v>0.70710678118654757</v>
      </c>
      <c r="BD21" s="81">
        <v>-0.70710678118654757</v>
      </c>
      <c r="BI21" s="81">
        <f>BC21+$BF$20</f>
        <v>2.7071067811865475</v>
      </c>
      <c r="BJ21" s="81">
        <f>BD21+$BG$20</f>
        <v>2.2928932188134525</v>
      </c>
    </row>
    <row r="22" spans="1:62">
      <c r="AF22" s="82">
        <v>0.16666666666666666</v>
      </c>
      <c r="AG22" s="82">
        <v>0.16666666666666666</v>
      </c>
      <c r="AH22" s="82">
        <v>0</v>
      </c>
      <c r="AI22" s="60"/>
      <c r="AJ22" s="82">
        <v>0.41666666666666663</v>
      </c>
      <c r="AK22" s="82">
        <v>-0.33333333333333331</v>
      </c>
      <c r="AL22" s="82">
        <v>8.3333333333333329E-2</v>
      </c>
      <c r="AM22" s="60"/>
      <c r="AN22" s="60"/>
      <c r="AO22" s="60"/>
      <c r="AP22" s="60"/>
      <c r="AQ22" s="60"/>
      <c r="AR22" s="82">
        <v>0.22222222222222221</v>
      </c>
      <c r="AS22" s="82">
        <v>-6.9444444444444448E-2</v>
      </c>
      <c r="AT22" s="82">
        <v>0.12499999999999999</v>
      </c>
      <c r="AU22" s="61"/>
      <c r="AW22" s="59">
        <v>0</v>
      </c>
      <c r="AX22" s="59">
        <v>1</v>
      </c>
      <c r="AZ22" s="60"/>
      <c r="BA22" s="60"/>
      <c r="BC22" s="81">
        <v>0.70710678118654757</v>
      </c>
      <c r="BD22" s="81">
        <v>0.70710678118654757</v>
      </c>
      <c r="BI22" s="81">
        <f>BC22+$BF$20</f>
        <v>2.7071067811865475</v>
      </c>
      <c r="BJ22" s="81">
        <f>BD22+$BG$20</f>
        <v>3.7071067811865475</v>
      </c>
    </row>
    <row r="23" spans="1:62">
      <c r="P23" s="101" t="s">
        <v>418</v>
      </c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W23" s="59">
        <v>1</v>
      </c>
      <c r="AX23" s="59">
        <v>1</v>
      </c>
      <c r="AZ23" s="60"/>
      <c r="BA23" s="60"/>
      <c r="BC23" s="81">
        <v>1.4142135623730951</v>
      </c>
      <c r="BD23" s="81">
        <v>0</v>
      </c>
      <c r="BI23" s="81">
        <f>BC23+$BF$20</f>
        <v>3.4142135623730949</v>
      </c>
      <c r="BJ23" s="81">
        <f>BD23+$BG$20</f>
        <v>3</v>
      </c>
    </row>
    <row r="24" spans="1:62">
      <c r="A24" s="101" t="s">
        <v>425</v>
      </c>
      <c r="B24" s="101"/>
      <c r="C24" s="101"/>
      <c r="D24" s="101"/>
      <c r="E24" s="101"/>
      <c r="F24" s="101"/>
      <c r="G24" s="101"/>
      <c r="H24" s="101"/>
      <c r="I24" s="101"/>
      <c r="P24" s="99" t="s">
        <v>396</v>
      </c>
      <c r="Q24" s="99"/>
      <c r="R24" s="99"/>
      <c r="T24" s="100" t="s">
        <v>397</v>
      </c>
      <c r="U24" s="100"/>
      <c r="V24" s="100"/>
      <c r="X24" s="103" t="s">
        <v>404</v>
      </c>
      <c r="Y24" s="103"/>
      <c r="Z24" s="103"/>
      <c r="AF24" s="101" t="s">
        <v>435</v>
      </c>
      <c r="AG24" s="101"/>
      <c r="AH24" s="101"/>
      <c r="AI24" s="101"/>
      <c r="AJ24" s="101"/>
      <c r="AZ24" s="60"/>
      <c r="BA24" s="60"/>
    </row>
    <row r="25" spans="1:62">
      <c r="A25" s="99" t="s">
        <v>396</v>
      </c>
      <c r="B25" s="99"/>
      <c r="C25" s="99"/>
      <c r="E25" s="102" t="s">
        <v>397</v>
      </c>
      <c r="F25" s="102"/>
      <c r="H25" s="98" t="s">
        <v>409</v>
      </c>
      <c r="I25" s="98"/>
      <c r="P25" s="59">
        <v>1</v>
      </c>
      <c r="Q25" s="59">
        <v>2</v>
      </c>
      <c r="R25" s="59">
        <v>3</v>
      </c>
      <c r="T25" s="59">
        <v>9</v>
      </c>
      <c r="U25" s="59">
        <v>8</v>
      </c>
      <c r="V25" s="59">
        <v>7</v>
      </c>
      <c r="X25" s="59">
        <v>1</v>
      </c>
      <c r="Y25" s="59">
        <v>2</v>
      </c>
      <c r="Z25" s="59">
        <v>3</v>
      </c>
      <c r="AF25" s="99" t="s">
        <v>396</v>
      </c>
      <c r="AG25" s="99"/>
      <c r="AI25" s="99" t="s">
        <v>429</v>
      </c>
      <c r="AJ25" s="99"/>
      <c r="AW25" s="64" t="s">
        <v>440</v>
      </c>
      <c r="AX25" s="64" t="s">
        <v>441</v>
      </c>
      <c r="AZ25" s="97" t="s">
        <v>448</v>
      </c>
      <c r="BA25" s="97"/>
      <c r="BC25" s="98" t="s">
        <v>447</v>
      </c>
      <c r="BD25" s="98"/>
    </row>
    <row r="26" spans="1:62">
      <c r="A26" s="59">
        <v>1</v>
      </c>
      <c r="B26" s="59">
        <v>2</v>
      </c>
      <c r="C26" s="59">
        <v>3</v>
      </c>
      <c r="E26" s="59">
        <v>7</v>
      </c>
      <c r="F26" s="59">
        <v>8</v>
      </c>
      <c r="H26" s="59" t="e">
        <f t="array" ref="H26:I27">MMULT(A26:C27,E26:F29)</f>
        <v>#VALUE!</v>
      </c>
      <c r="I26" s="59" t="e">
        <v>#VALUE!</v>
      </c>
      <c r="P26" s="59">
        <v>4</v>
      </c>
      <c r="Q26" s="59">
        <v>5</v>
      </c>
      <c r="R26" s="59">
        <v>6</v>
      </c>
      <c r="T26" s="59">
        <v>6</v>
      </c>
      <c r="U26" s="59">
        <v>5</v>
      </c>
      <c r="V26" s="59">
        <v>4</v>
      </c>
      <c r="X26" s="59">
        <v>6</v>
      </c>
      <c r="Y26" s="59">
        <v>5</v>
      </c>
      <c r="Z26" s="59">
        <v>4</v>
      </c>
      <c r="AF26" s="59">
        <v>1</v>
      </c>
      <c r="AG26" s="59">
        <v>2</v>
      </c>
      <c r="AI26" s="81" t="e">
        <f t="array" ref="AI26:AJ27">MINVERSE(AF26:AG27)</f>
        <v>#NUM!</v>
      </c>
      <c r="AJ26" s="82" t="e">
        <v>#NUM!</v>
      </c>
      <c r="AW26" s="59">
        <v>0</v>
      </c>
      <c r="AX26" s="59">
        <v>0</v>
      </c>
      <c r="AZ26" s="60">
        <f>SQRT(3)/2</f>
        <v>0.8660254037844386</v>
      </c>
      <c r="BA26" s="60">
        <v>0.5</v>
      </c>
      <c r="BC26" s="81">
        <f t="array" ref="BC26:BD29">MMULT(AW26:AX29,AZ26:BA27)</f>
        <v>0</v>
      </c>
      <c r="BD26" s="81">
        <v>0</v>
      </c>
    </row>
    <row r="27" spans="1:62">
      <c r="A27" s="59">
        <v>4</v>
      </c>
      <c r="B27" s="59">
        <v>5</v>
      </c>
      <c r="C27" s="59">
        <v>6</v>
      </c>
      <c r="E27" s="59">
        <v>9</v>
      </c>
      <c r="F27" s="59">
        <v>10</v>
      </c>
      <c r="H27" s="59" t="e">
        <v>#VALUE!</v>
      </c>
      <c r="I27" s="59" t="e">
        <v>#VALUE!</v>
      </c>
      <c r="P27" s="59">
        <v>7</v>
      </c>
      <c r="Q27" s="59">
        <v>8</v>
      </c>
      <c r="R27" s="59">
        <v>9</v>
      </c>
      <c r="T27" s="59">
        <v>3</v>
      </c>
      <c r="U27" s="59">
        <v>2</v>
      </c>
      <c r="V27" s="59">
        <v>1</v>
      </c>
      <c r="X27" s="59">
        <v>1</v>
      </c>
      <c r="Y27" s="59">
        <v>2</v>
      </c>
      <c r="Z27" s="59">
        <v>3</v>
      </c>
      <c r="AF27" s="59">
        <v>1</v>
      </c>
      <c r="AG27" s="59">
        <v>2</v>
      </c>
      <c r="AI27" s="81" t="e">
        <v>#NUM!</v>
      </c>
      <c r="AJ27" s="82" t="e">
        <v>#NUM!</v>
      </c>
      <c r="AW27" s="59">
        <v>1</v>
      </c>
      <c r="AX27" s="59">
        <v>0</v>
      </c>
      <c r="AZ27" s="60">
        <v>-0.5</v>
      </c>
      <c r="BA27" s="60">
        <f>SQRT(3)/2</f>
        <v>0.8660254037844386</v>
      </c>
      <c r="BC27" s="81">
        <v>0.8660254037844386</v>
      </c>
      <c r="BD27" s="81">
        <v>0.5</v>
      </c>
    </row>
    <row r="28" spans="1:62">
      <c r="E28" s="59">
        <v>11</v>
      </c>
      <c r="F28" s="59">
        <v>12</v>
      </c>
      <c r="AJ28" s="60"/>
      <c r="AK28" s="60"/>
      <c r="AL28" s="60"/>
      <c r="AW28" s="59">
        <v>0</v>
      </c>
      <c r="AX28" s="59">
        <v>1</v>
      </c>
      <c r="BC28" s="81">
        <v>-0.5</v>
      </c>
      <c r="BD28" s="81">
        <v>0.8660254037844386</v>
      </c>
    </row>
    <row r="29" spans="1:62">
      <c r="E29" s="59">
        <v>13</v>
      </c>
      <c r="F29" s="59">
        <v>14</v>
      </c>
      <c r="P29" s="102" t="s">
        <v>410</v>
      </c>
      <c r="Q29" s="102"/>
      <c r="R29" s="102"/>
      <c r="X29" s="102" t="s">
        <v>411</v>
      </c>
      <c r="Y29" s="102"/>
      <c r="Z29" s="102"/>
      <c r="AW29" s="59">
        <v>1</v>
      </c>
      <c r="AX29" s="59">
        <v>1</v>
      </c>
      <c r="BC29" s="81">
        <v>0.3660254037844386</v>
      </c>
      <c r="BD29" s="81">
        <v>1.3660254037844386</v>
      </c>
    </row>
    <row r="30" spans="1:62">
      <c r="P30" s="81">
        <f t="array" ref="P30:R32">T25:V27+X25:Z27</f>
        <v>10</v>
      </c>
      <c r="Q30" s="81">
        <v>10</v>
      </c>
      <c r="R30" s="81">
        <v>10</v>
      </c>
      <c r="X30" s="81">
        <f t="array" ref="X30:Z32">MMULT(P25:R27,P30:R32)</f>
        <v>46</v>
      </c>
      <c r="Y30" s="81">
        <v>42</v>
      </c>
      <c r="Z30" s="81">
        <v>38</v>
      </c>
    </row>
    <row r="31" spans="1:62">
      <c r="A31" s="101" t="s">
        <v>426</v>
      </c>
      <c r="B31" s="101"/>
      <c r="C31" s="101"/>
      <c r="D31" s="101"/>
      <c r="E31" s="101"/>
      <c r="F31" s="101"/>
      <c r="G31" s="101"/>
      <c r="H31" s="101"/>
      <c r="I31" s="101"/>
      <c r="P31" s="81">
        <v>12</v>
      </c>
      <c r="Q31" s="81">
        <v>10</v>
      </c>
      <c r="R31" s="81">
        <v>8</v>
      </c>
      <c r="X31" s="81">
        <v>124</v>
      </c>
      <c r="Y31" s="81">
        <v>114</v>
      </c>
      <c r="Z31" s="81">
        <v>104</v>
      </c>
      <c r="AW31" s="64" t="s">
        <v>440</v>
      </c>
      <c r="AX31" s="64" t="s">
        <v>441</v>
      </c>
      <c r="AZ31" s="97" t="s">
        <v>449</v>
      </c>
      <c r="BA31" s="97"/>
      <c r="BC31" s="98" t="s">
        <v>447</v>
      </c>
      <c r="BD31" s="98"/>
    </row>
    <row r="32" spans="1:62">
      <c r="A32" s="99" t="s">
        <v>396</v>
      </c>
      <c r="B32" s="99"/>
      <c r="C32" s="99"/>
      <c r="E32" s="102" t="s">
        <v>397</v>
      </c>
      <c r="F32" s="102"/>
      <c r="H32" s="98" t="s">
        <v>409</v>
      </c>
      <c r="I32" s="98"/>
      <c r="P32" s="81">
        <v>4</v>
      </c>
      <c r="Q32" s="81">
        <v>4</v>
      </c>
      <c r="R32" s="81">
        <v>4</v>
      </c>
      <c r="X32" s="81">
        <v>202</v>
      </c>
      <c r="Y32" s="81">
        <v>186</v>
      </c>
      <c r="Z32" s="81">
        <v>170</v>
      </c>
      <c r="AW32" s="59">
        <v>0</v>
      </c>
      <c r="AX32" s="59">
        <v>0</v>
      </c>
      <c r="AZ32" s="82">
        <f t="array" ref="AZ32:BA33">MINVERSE(AZ26:BA27)</f>
        <v>0.86602540378443871</v>
      </c>
      <c r="BA32" s="82">
        <v>-0.50000000000000011</v>
      </c>
      <c r="BC32" s="81">
        <f t="array" ref="BC32:BD35">MMULT(AW32:AX35,AZ32:BA33)</f>
        <v>0</v>
      </c>
      <c r="BD32" s="81">
        <v>0</v>
      </c>
    </row>
    <row r="33" spans="1:56">
      <c r="A33" s="59">
        <v>1</v>
      </c>
      <c r="B33" s="59">
        <v>2</v>
      </c>
      <c r="C33" s="59">
        <v>3</v>
      </c>
      <c r="E33" s="59">
        <v>7</v>
      </c>
      <c r="F33" s="59">
        <v>8</v>
      </c>
      <c r="H33" s="59">
        <f t="array" ref="H33:J35">MMULT(A33:C34,E33:F35)</f>
        <v>58</v>
      </c>
      <c r="I33" s="59">
        <v>64</v>
      </c>
      <c r="J33" s="59" t="e">
        <v>#N/A</v>
      </c>
      <c r="AW33" s="59">
        <v>0.8660254037844386</v>
      </c>
      <c r="AX33" s="59">
        <v>0.5</v>
      </c>
      <c r="AZ33" s="82">
        <v>0.50000000000000011</v>
      </c>
      <c r="BA33" s="82">
        <v>0.86602540378443871</v>
      </c>
      <c r="BC33" s="81">
        <v>1</v>
      </c>
      <c r="BD33" s="81">
        <v>-5.5511151231257827E-17</v>
      </c>
    </row>
    <row r="34" spans="1:56">
      <c r="A34" s="59">
        <v>4</v>
      </c>
      <c r="B34" s="59">
        <v>5</v>
      </c>
      <c r="C34" s="59">
        <v>6</v>
      </c>
      <c r="E34" s="59">
        <v>9</v>
      </c>
      <c r="F34" s="59">
        <v>10</v>
      </c>
      <c r="H34" s="59">
        <v>139</v>
      </c>
      <c r="I34" s="59">
        <v>154</v>
      </c>
      <c r="J34" s="59" t="e">
        <v>#N/A</v>
      </c>
      <c r="P34" s="102" t="s">
        <v>409</v>
      </c>
      <c r="Q34" s="102"/>
      <c r="R34" s="102"/>
      <c r="T34" s="102" t="s">
        <v>412</v>
      </c>
      <c r="U34" s="102"/>
      <c r="V34" s="102"/>
      <c r="X34" s="102" t="s">
        <v>413</v>
      </c>
      <c r="Y34" s="102"/>
      <c r="Z34" s="102"/>
      <c r="AW34" s="59">
        <v>-0.5</v>
      </c>
      <c r="AX34" s="59">
        <v>0.8660254037844386</v>
      </c>
      <c r="BC34" s="81">
        <v>5.5511151231257827E-17</v>
      </c>
      <c r="BD34" s="81">
        <v>1</v>
      </c>
    </row>
    <row r="35" spans="1:56">
      <c r="E35" s="59">
        <v>11</v>
      </c>
      <c r="F35" s="59">
        <v>12</v>
      </c>
      <c r="H35" s="59" t="e">
        <v>#N/A</v>
      </c>
      <c r="I35" s="59" t="e">
        <v>#N/A</v>
      </c>
      <c r="J35" s="59" t="e">
        <v>#N/A</v>
      </c>
      <c r="P35" s="81">
        <f t="array" ref="P35:R37">MMULT(P25:R27,T25:V27)</f>
        <v>30</v>
      </c>
      <c r="Q35" s="81">
        <v>24</v>
      </c>
      <c r="R35" s="81">
        <v>18</v>
      </c>
      <c r="T35" s="81">
        <f t="array" ref="T35:V37">MMULT(P25:R27,X25:Z27)</f>
        <v>16</v>
      </c>
      <c r="U35" s="81">
        <v>18</v>
      </c>
      <c r="V35" s="81">
        <v>20</v>
      </c>
      <c r="X35" s="81">
        <f t="array" ref="X35:Z37">P35:R37+T35:V37</f>
        <v>46</v>
      </c>
      <c r="Y35" s="81">
        <v>42</v>
      </c>
      <c r="Z35" s="81">
        <v>38</v>
      </c>
      <c r="AW35" s="59">
        <v>0.3660254037844386</v>
      </c>
      <c r="AX35" s="59">
        <v>1.3660254037844386</v>
      </c>
      <c r="BC35" s="81">
        <v>1</v>
      </c>
      <c r="BD35" s="81">
        <v>1</v>
      </c>
    </row>
    <row r="36" spans="1:56">
      <c r="P36" s="81">
        <v>84</v>
      </c>
      <c r="Q36" s="81">
        <v>69</v>
      </c>
      <c r="R36" s="81">
        <v>54</v>
      </c>
      <c r="T36" s="81">
        <v>40</v>
      </c>
      <c r="U36" s="81">
        <v>45</v>
      </c>
      <c r="V36" s="81">
        <v>50</v>
      </c>
      <c r="X36" s="81">
        <v>124</v>
      </c>
      <c r="Y36" s="81">
        <v>114</v>
      </c>
      <c r="Z36" s="81">
        <v>104</v>
      </c>
    </row>
    <row r="37" spans="1:56">
      <c r="A37" s="101" t="s">
        <v>427</v>
      </c>
      <c r="B37" s="101"/>
      <c r="C37" s="101"/>
      <c r="D37" s="101"/>
      <c r="E37" s="101"/>
      <c r="F37" s="101"/>
      <c r="G37" s="101"/>
      <c r="H37" s="101"/>
      <c r="I37" s="101"/>
      <c r="P37" s="81">
        <v>138</v>
      </c>
      <c r="Q37" s="81">
        <v>114</v>
      </c>
      <c r="R37" s="81">
        <v>90</v>
      </c>
      <c r="T37" s="81">
        <v>64</v>
      </c>
      <c r="U37" s="81">
        <v>72</v>
      </c>
      <c r="V37" s="81">
        <v>80</v>
      </c>
      <c r="X37" s="81">
        <v>202</v>
      </c>
      <c r="Y37" s="81">
        <v>186</v>
      </c>
      <c r="Z37" s="81">
        <v>170</v>
      </c>
    </row>
    <row r="38" spans="1:56">
      <c r="A38" s="99" t="s">
        <v>396</v>
      </c>
      <c r="B38" s="99"/>
      <c r="C38" s="99"/>
      <c r="E38" s="102" t="s">
        <v>397</v>
      </c>
      <c r="F38" s="102"/>
      <c r="H38" s="98" t="s">
        <v>409</v>
      </c>
      <c r="I38" s="98"/>
    </row>
    <row r="39" spans="1:56">
      <c r="A39" s="59">
        <v>1</v>
      </c>
      <c r="B39" s="59">
        <v>2</v>
      </c>
      <c r="C39" s="59">
        <v>3</v>
      </c>
      <c r="E39" s="59">
        <v>7</v>
      </c>
      <c r="F39" s="59">
        <v>8</v>
      </c>
      <c r="H39" s="59">
        <f t="array" ref="H39:H40">MMULT(A39:C40,E39:F41)</f>
        <v>58</v>
      </c>
      <c r="P39" s="102" t="s">
        <v>414</v>
      </c>
      <c r="Q39" s="102"/>
      <c r="R39" s="102"/>
      <c r="X39" s="102" t="s">
        <v>415</v>
      </c>
      <c r="Y39" s="102"/>
      <c r="Z39" s="102"/>
    </row>
    <row r="40" spans="1:56">
      <c r="A40" s="59">
        <v>4</v>
      </c>
      <c r="B40" s="59">
        <v>5</v>
      </c>
      <c r="C40" s="59">
        <v>6</v>
      </c>
      <c r="E40" s="59">
        <v>9</v>
      </c>
      <c r="F40" s="59">
        <v>10</v>
      </c>
      <c r="H40" s="59">
        <v>139</v>
      </c>
      <c r="P40" s="81">
        <f t="array" ref="P40:R42">P25:R27+T25:V27</f>
        <v>10</v>
      </c>
      <c r="Q40" s="81">
        <v>10</v>
      </c>
      <c r="R40" s="81">
        <v>10</v>
      </c>
      <c r="X40" s="81">
        <f t="array" ref="X40:Z42">MMULT(P40:R42,X25:Z27)</f>
        <v>80</v>
      </c>
      <c r="Y40" s="81">
        <v>90</v>
      </c>
      <c r="Z40" s="81">
        <v>100</v>
      </c>
    </row>
    <row r="41" spans="1:56">
      <c r="E41" s="59">
        <v>11</v>
      </c>
      <c r="F41" s="59">
        <v>12</v>
      </c>
      <c r="P41" s="81">
        <v>10</v>
      </c>
      <c r="Q41" s="81">
        <v>10</v>
      </c>
      <c r="R41" s="81">
        <v>10</v>
      </c>
      <c r="X41" s="81">
        <v>80</v>
      </c>
      <c r="Y41" s="81">
        <v>90</v>
      </c>
      <c r="Z41" s="81">
        <v>100</v>
      </c>
      <c r="AG41" s="59">
        <f>(1+0.00001)</f>
        <v>1.0000100000000001</v>
      </c>
    </row>
    <row r="42" spans="1:56">
      <c r="P42" s="81">
        <v>10</v>
      </c>
      <c r="Q42" s="81">
        <v>10</v>
      </c>
      <c r="R42" s="81">
        <v>10</v>
      </c>
      <c r="X42" s="81">
        <v>80</v>
      </c>
      <c r="Y42" s="81">
        <v>90</v>
      </c>
      <c r="Z42" s="81">
        <v>100</v>
      </c>
    </row>
    <row r="44" spans="1:56">
      <c r="P44" s="102" t="s">
        <v>412</v>
      </c>
      <c r="Q44" s="102"/>
      <c r="R44" s="102"/>
      <c r="T44" s="102" t="s">
        <v>416</v>
      </c>
      <c r="U44" s="102"/>
      <c r="V44" s="102"/>
      <c r="X44" s="102" t="s">
        <v>417</v>
      </c>
      <c r="Y44" s="102"/>
      <c r="Z44" s="102"/>
    </row>
    <row r="45" spans="1:56">
      <c r="P45" s="81">
        <f t="array" ref="P45:R47">MMULT(P25:R27,X25:Z27)</f>
        <v>16</v>
      </c>
      <c r="Q45" s="81">
        <v>18</v>
      </c>
      <c r="R45" s="81">
        <v>20</v>
      </c>
      <c r="T45" s="81">
        <f t="array" ref="T45:V47">MMULT(T25:V27,X25:Z27)</f>
        <v>64</v>
      </c>
      <c r="U45" s="81">
        <v>72</v>
      </c>
      <c r="V45" s="81">
        <v>80</v>
      </c>
      <c r="X45" s="81">
        <f t="array" ref="X45:Z47">P45:R47+T45:V47</f>
        <v>80</v>
      </c>
      <c r="Y45" s="81">
        <v>90</v>
      </c>
      <c r="Z45" s="81">
        <v>100</v>
      </c>
    </row>
    <row r="46" spans="1:56">
      <c r="P46" s="81">
        <v>40</v>
      </c>
      <c r="Q46" s="81">
        <v>45</v>
      </c>
      <c r="R46" s="81">
        <v>50</v>
      </c>
      <c r="T46" s="81">
        <v>40</v>
      </c>
      <c r="U46" s="81">
        <v>45</v>
      </c>
      <c r="V46" s="81">
        <v>50</v>
      </c>
      <c r="X46" s="81">
        <v>80</v>
      </c>
      <c r="Y46" s="81">
        <v>90</v>
      </c>
      <c r="Z46" s="81">
        <v>100</v>
      </c>
    </row>
    <row r="47" spans="1:56">
      <c r="P47" s="81">
        <v>64</v>
      </c>
      <c r="Q47" s="81">
        <v>72</v>
      </c>
      <c r="R47" s="81">
        <v>80</v>
      </c>
      <c r="T47" s="81">
        <v>16</v>
      </c>
      <c r="U47" s="81">
        <v>18</v>
      </c>
      <c r="V47" s="81">
        <v>20</v>
      </c>
      <c r="X47" s="81">
        <v>80</v>
      </c>
      <c r="Y47" s="81">
        <v>90</v>
      </c>
      <c r="Z47" s="81">
        <v>100</v>
      </c>
    </row>
    <row r="50" spans="11:31">
      <c r="P50" s="101" t="s">
        <v>456</v>
      </c>
      <c r="Q50" s="101"/>
      <c r="R50" s="101"/>
      <c r="S50" s="101"/>
      <c r="T50" s="101"/>
      <c r="U50" s="101"/>
      <c r="V50" s="101"/>
      <c r="W50" s="101"/>
    </row>
    <row r="51" spans="11:31">
      <c r="P51" s="62" t="s">
        <v>454</v>
      </c>
      <c r="R51" s="102" t="s">
        <v>453</v>
      </c>
      <c r="S51" s="102"/>
      <c r="T51" s="102"/>
      <c r="U51" s="102"/>
      <c r="V51" s="102"/>
      <c r="W51" s="102"/>
    </row>
    <row r="52" spans="11:31">
      <c r="K52" s="3"/>
      <c r="P52" s="60">
        <v>-1.108105517944838</v>
      </c>
      <c r="Q52" s="60"/>
      <c r="R52" s="82">
        <f t="array" ref="R52:W52">TRANSPOSE(P52:P57)</f>
        <v>-1.108105517944838</v>
      </c>
      <c r="S52" s="82">
        <v>0.48756642789573235</v>
      </c>
      <c r="T52" s="82">
        <v>1.5513477251227792</v>
      </c>
      <c r="U52" s="82">
        <v>-0.57621486933131461</v>
      </c>
      <c r="V52" s="82">
        <v>0.75351175220249411</v>
      </c>
      <c r="W52" s="82">
        <v>-1.108105517944838</v>
      </c>
    </row>
    <row r="53" spans="11:31">
      <c r="K53" s="3"/>
      <c r="P53" s="60">
        <v>0.48756642789573235</v>
      </c>
      <c r="Q53" s="60"/>
      <c r="R53" s="60"/>
      <c r="S53" s="60"/>
      <c r="T53" s="60"/>
      <c r="U53" s="60"/>
      <c r="V53" s="60"/>
      <c r="W53" s="60"/>
    </row>
    <row r="54" spans="11:31">
      <c r="K54" s="3"/>
      <c r="P54" s="60">
        <v>1.5513477251227792</v>
      </c>
      <c r="Q54" s="60"/>
      <c r="R54" s="60"/>
      <c r="S54" s="60"/>
      <c r="T54" s="60"/>
      <c r="U54" s="60"/>
      <c r="V54" s="60"/>
      <c r="W54" s="60"/>
    </row>
    <row r="55" spans="11:31">
      <c r="K55" s="3"/>
      <c r="P55" s="60">
        <v>-0.57621486933131461</v>
      </c>
      <c r="Q55" s="60"/>
      <c r="R55" s="60"/>
      <c r="S55" s="60"/>
      <c r="T55" s="60"/>
      <c r="U55" s="60"/>
      <c r="V55" s="60"/>
      <c r="W55" s="60"/>
    </row>
    <row r="56" spans="11:31">
      <c r="K56" s="3"/>
      <c r="P56" s="60">
        <v>0.75351175220249411</v>
      </c>
      <c r="Q56" s="60"/>
      <c r="R56" s="102" t="s">
        <v>457</v>
      </c>
      <c r="S56" s="102"/>
      <c r="T56" s="81">
        <f>_xlfn.VAR.S(P52:P57)</f>
        <v>1.1999999999999997</v>
      </c>
      <c r="U56" s="60"/>
      <c r="V56" s="60"/>
      <c r="W56" s="60"/>
    </row>
    <row r="57" spans="11:31">
      <c r="K57" s="3"/>
      <c r="P57" s="60">
        <v>-1.108105517944838</v>
      </c>
      <c r="Q57" s="60"/>
      <c r="R57" s="102" t="s">
        <v>455</v>
      </c>
      <c r="S57" s="102"/>
      <c r="T57" s="81">
        <f t="array" ref="T57">MMULT(R52:W52,P52:P57)/5</f>
        <v>1.1999999999999997</v>
      </c>
      <c r="U57" s="60"/>
      <c r="V57" s="60"/>
      <c r="W57" s="60"/>
    </row>
    <row r="58" spans="11:31">
      <c r="K58" s="3"/>
    </row>
    <row r="61" spans="11:31">
      <c r="P61" s="101" t="s">
        <v>458</v>
      </c>
      <c r="Q61" s="101"/>
      <c r="R61" s="101"/>
      <c r="S61" s="101"/>
      <c r="T61" s="101"/>
      <c r="U61" s="101"/>
      <c r="V61" s="101"/>
      <c r="W61" s="101"/>
      <c r="Y61"/>
      <c r="Z61"/>
      <c r="AA61"/>
      <c r="AC61"/>
      <c r="AD61"/>
      <c r="AE61"/>
    </row>
    <row r="62" spans="11:31">
      <c r="P62" s="65" t="s">
        <v>11</v>
      </c>
      <c r="Q62" s="65" t="s">
        <v>12</v>
      </c>
      <c r="R62" s="65" t="s">
        <v>13</v>
      </c>
      <c r="AA62"/>
    </row>
    <row r="63" spans="11:31">
      <c r="P63" s="60">
        <v>0.44888291303384859</v>
      </c>
      <c r="Q63" s="60">
        <v>8.5592098502182315E-2</v>
      </c>
      <c r="R63" s="60">
        <v>-1.2909944487358056</v>
      </c>
      <c r="S63" s="60"/>
      <c r="T63" s="60"/>
      <c r="U63" s="60"/>
      <c r="V63" s="60"/>
      <c r="W63" s="60"/>
      <c r="AA63"/>
    </row>
    <row r="64" spans="11:31">
      <c r="P64" s="60">
        <v>0.51975916246024567</v>
      </c>
      <c r="Q64" s="60">
        <v>0.8559209850218259</v>
      </c>
      <c r="R64" s="60">
        <v>-0.32274861218395151</v>
      </c>
      <c r="S64" s="60"/>
      <c r="T64" s="60"/>
      <c r="U64" s="60"/>
      <c r="V64" s="60"/>
      <c r="W64" s="60"/>
      <c r="AA64"/>
    </row>
    <row r="65" spans="16:27">
      <c r="P65" s="60">
        <v>-2.0317858168900478</v>
      </c>
      <c r="Q65" s="60">
        <v>-1.0699012312772831</v>
      </c>
      <c r="R65" s="60">
        <v>1.6137430609197567</v>
      </c>
      <c r="S65" s="60"/>
      <c r="T65" s="60"/>
      <c r="U65" s="60"/>
      <c r="V65" s="60"/>
      <c r="W65" s="60"/>
      <c r="Y65"/>
      <c r="Z65"/>
      <c r="AA65"/>
    </row>
    <row r="66" spans="16:27">
      <c r="P66" s="60">
        <v>0.23625416475465746</v>
      </c>
      <c r="Q66" s="60">
        <v>1.1126972805283739</v>
      </c>
      <c r="R66" s="60">
        <v>-0.32274861218395151</v>
      </c>
      <c r="S66" s="60"/>
      <c r="T66" s="60"/>
      <c r="U66" s="60"/>
      <c r="V66" s="60"/>
      <c r="W66" s="60"/>
      <c r="Y66"/>
      <c r="Z66"/>
      <c r="AA66"/>
    </row>
    <row r="67" spans="16:27">
      <c r="P67" s="60">
        <v>0.37800666360745155</v>
      </c>
      <c r="Q67" s="60">
        <v>-1.3266775267838309</v>
      </c>
      <c r="R67" s="60">
        <v>-0.32274861218395151</v>
      </c>
      <c r="S67" s="60"/>
      <c r="T67" s="60"/>
      <c r="U67" s="60"/>
      <c r="V67" s="60"/>
      <c r="W67" s="60"/>
      <c r="Y67"/>
      <c r="Z67"/>
      <c r="AA67"/>
    </row>
    <row r="68" spans="16:27">
      <c r="P68" s="60">
        <v>0.44888291303384859</v>
      </c>
      <c r="Q68" s="60">
        <v>0.3423683940087302</v>
      </c>
      <c r="R68" s="60">
        <v>0.64549722436790258</v>
      </c>
      <c r="S68" s="60"/>
      <c r="T68" s="60"/>
      <c r="U68" s="60"/>
      <c r="V68" s="60"/>
      <c r="W68" s="60"/>
    </row>
    <row r="69" spans="16:27">
      <c r="P69" s="60"/>
      <c r="Q69" s="60"/>
      <c r="R69" s="60"/>
      <c r="S69" s="60"/>
      <c r="T69" s="60"/>
      <c r="U69" s="60"/>
      <c r="V69" s="60"/>
      <c r="W69" s="60"/>
    </row>
    <row r="70" spans="16:27">
      <c r="P70" s="60"/>
      <c r="Q70" s="60"/>
      <c r="R70" s="105" t="s">
        <v>460</v>
      </c>
      <c r="S70" s="105"/>
      <c r="T70" s="105"/>
      <c r="U70" s="105"/>
      <c r="V70" s="60"/>
      <c r="W70" s="60"/>
    </row>
    <row r="71" spans="16:27">
      <c r="P71" s="60"/>
      <c r="Q71" s="60"/>
      <c r="R71" s="60"/>
      <c r="S71" s="65" t="s">
        <v>11</v>
      </c>
      <c r="T71" s="65" t="s">
        <v>12</v>
      </c>
      <c r="U71" s="65" t="s">
        <v>13</v>
      </c>
      <c r="V71" s="60"/>
      <c r="W71" s="60"/>
    </row>
    <row r="72" spans="16:27">
      <c r="P72" s="60"/>
      <c r="Q72" s="60"/>
      <c r="R72" s="65" t="s">
        <v>11</v>
      </c>
      <c r="S72" s="83">
        <f>CORREL($P$63:$P$68,P63:P68)</f>
        <v>1.0000000000000002</v>
      </c>
      <c r="T72" s="82">
        <f>CORREL($P$63:$P$68,Q63:Q68)</f>
        <v>0.51443469901692829</v>
      </c>
      <c r="U72" s="82">
        <f>CORREL($P$63:$P$68,R63:R68)</f>
        <v>-0.78690726318755899</v>
      </c>
      <c r="V72" s="60"/>
      <c r="W72" s="60"/>
    </row>
    <row r="73" spans="16:27">
      <c r="P73" s="60"/>
      <c r="Q73" s="60"/>
      <c r="R73" s="65" t="s">
        <v>12</v>
      </c>
      <c r="S73" s="82">
        <f>CORREL($Q$63:$Q$68,P63:P68)</f>
        <v>0.51443469901692829</v>
      </c>
      <c r="T73" s="83">
        <f>CORREL($Q$63:$Q$68,Q63:Q68)</f>
        <v>1</v>
      </c>
      <c r="U73" s="82">
        <f>CORREL($Q$63:$Q$68,R63:R68)</f>
        <v>-0.36464644927248763</v>
      </c>
      <c r="V73" s="60"/>
      <c r="W73" s="60"/>
    </row>
    <row r="74" spans="16:27">
      <c r="P74" s="60"/>
      <c r="Q74" s="60"/>
      <c r="R74" s="65" t="s">
        <v>13</v>
      </c>
      <c r="S74" s="82">
        <f>CORREL($R$63:$R$68,P63:P68)</f>
        <v>-0.78690726318755899</v>
      </c>
      <c r="T74" s="82">
        <f>CORREL($R$63:$R$68,Q63:Q68)</f>
        <v>-0.36464644927248763</v>
      </c>
      <c r="U74" s="83">
        <f>CORREL($R$63:$R$68,R63:R68)</f>
        <v>1</v>
      </c>
      <c r="V74" s="60"/>
      <c r="W74" s="60"/>
    </row>
    <row r="75" spans="16:27">
      <c r="P75" s="60"/>
      <c r="Q75" s="60"/>
      <c r="R75" s="60"/>
      <c r="S75" s="60"/>
      <c r="T75" s="60"/>
      <c r="U75" s="60"/>
      <c r="V75" s="60"/>
      <c r="W75" s="60"/>
    </row>
    <row r="76" spans="16:27">
      <c r="P76" s="60"/>
      <c r="Q76" s="60"/>
      <c r="R76" s="60"/>
      <c r="S76" s="60"/>
      <c r="T76" s="60"/>
      <c r="U76" s="60"/>
      <c r="V76" s="60"/>
      <c r="W76" s="60"/>
    </row>
    <row r="77" spans="16:27">
      <c r="P77" s="97" t="s">
        <v>459</v>
      </c>
      <c r="Q77" s="97"/>
      <c r="R77" s="97"/>
      <c r="S77" s="97"/>
      <c r="T77" s="97"/>
      <c r="U77" s="97"/>
      <c r="V77" s="97"/>
      <c r="W77" s="60"/>
    </row>
    <row r="78" spans="16:27">
      <c r="P78" s="82" t="str">
        <f t="array" ref="P78:V80">TRANSPOSE(P62:R68)</f>
        <v>안타</v>
      </c>
      <c r="Q78" s="82">
        <v>0.44888291303384859</v>
      </c>
      <c r="R78" s="82">
        <v>0.51975916246024567</v>
      </c>
      <c r="S78" s="82">
        <v>-2.0317858168900478</v>
      </c>
      <c r="T78" s="82">
        <v>0.23625416475465746</v>
      </c>
      <c r="U78" s="84">
        <v>0.37800666360745155</v>
      </c>
      <c r="V78" s="84">
        <v>0.44888291303384859</v>
      </c>
      <c r="W78" s="60"/>
    </row>
    <row r="79" spans="16:27">
      <c r="P79" s="82" t="str">
        <v>2타</v>
      </c>
      <c r="Q79" s="82">
        <v>8.5592098502182315E-2</v>
      </c>
      <c r="R79" s="82">
        <v>0.8559209850218259</v>
      </c>
      <c r="S79" s="82">
        <v>-1.0699012312772831</v>
      </c>
      <c r="T79" s="82">
        <v>1.1126972805283739</v>
      </c>
      <c r="U79" s="84">
        <v>-1.3266775267838309</v>
      </c>
      <c r="V79" s="84">
        <v>0.3423683940087302</v>
      </c>
      <c r="W79" s="60"/>
    </row>
    <row r="80" spans="16:27">
      <c r="P80" s="82" t="str">
        <v>3타</v>
      </c>
      <c r="Q80" s="82">
        <v>-1.2909944487358056</v>
      </c>
      <c r="R80" s="82">
        <v>-0.32274861218395151</v>
      </c>
      <c r="S80" s="82">
        <v>1.6137430609197567</v>
      </c>
      <c r="T80" s="82">
        <v>-0.32274861218395151</v>
      </c>
      <c r="U80" s="84">
        <v>-0.32274861218395151</v>
      </c>
      <c r="V80" s="84">
        <v>0.64549722436790258</v>
      </c>
      <c r="W80" s="60"/>
    </row>
    <row r="81" spans="16:23">
      <c r="P81" s="60"/>
      <c r="Q81" s="60"/>
      <c r="R81" s="60"/>
      <c r="S81" s="60"/>
      <c r="T81" s="60"/>
      <c r="U81" s="60"/>
      <c r="V81" s="60"/>
      <c r="W81" s="60"/>
    </row>
    <row r="82" spans="16:23">
      <c r="P82" s="60"/>
      <c r="Q82" s="60"/>
      <c r="R82" s="105" t="s">
        <v>461</v>
      </c>
      <c r="S82" s="105"/>
      <c r="T82" s="105"/>
      <c r="U82" s="105"/>
      <c r="V82" s="60"/>
      <c r="W82" s="60"/>
    </row>
    <row r="83" spans="16:23">
      <c r="P83" s="60"/>
      <c r="Q83" s="60"/>
      <c r="R83" s="60"/>
      <c r="S83" s="65" t="s">
        <v>11</v>
      </c>
      <c r="T83" s="65" t="s">
        <v>12</v>
      </c>
      <c r="U83" s="65" t="s">
        <v>13</v>
      </c>
      <c r="V83" s="60"/>
      <c r="W83" s="60"/>
    </row>
    <row r="84" spans="16:23">
      <c r="P84" s="60"/>
      <c r="Q84" s="60"/>
      <c r="R84" s="65" t="s">
        <v>11</v>
      </c>
      <c r="S84" s="83">
        <f t="array" ref="S84:U86">MMULT(Q78:V80,P63:R68)/5</f>
        <v>1</v>
      </c>
      <c r="T84" s="82">
        <v>0.51443469901692862</v>
      </c>
      <c r="U84" s="82">
        <v>-0.78690726318755899</v>
      </c>
      <c r="V84" s="60"/>
      <c r="W84" s="60"/>
    </row>
    <row r="85" spans="16:23">
      <c r="P85" s="60"/>
      <c r="Q85" s="60"/>
      <c r="R85" s="65" t="s">
        <v>12</v>
      </c>
      <c r="S85" s="82">
        <v>0.51443469901692862</v>
      </c>
      <c r="T85" s="83">
        <v>1.0000000000000007</v>
      </c>
      <c r="U85" s="82">
        <v>-0.36464644927248779</v>
      </c>
      <c r="V85" s="60"/>
      <c r="W85" s="60"/>
    </row>
    <row r="86" spans="16:23">
      <c r="P86" s="60"/>
      <c r="Q86" s="60"/>
      <c r="R86" s="65" t="s">
        <v>13</v>
      </c>
      <c r="S86" s="82">
        <v>-0.78690726318755899</v>
      </c>
      <c r="T86" s="82">
        <v>-0.36464644927248779</v>
      </c>
      <c r="U86" s="83">
        <v>0.99999999999999978</v>
      </c>
      <c r="V86" s="60"/>
      <c r="W86" s="60"/>
    </row>
    <row r="87" spans="16:23">
      <c r="P87" s="60"/>
      <c r="Q87" s="60"/>
      <c r="R87" s="60"/>
      <c r="S87" s="60"/>
      <c r="T87" s="60"/>
      <c r="U87" s="60"/>
      <c r="V87" s="60"/>
      <c r="W87" s="60"/>
    </row>
  </sheetData>
  <mergeCells count="97">
    <mergeCell ref="R56:S56"/>
    <mergeCell ref="R57:S57"/>
    <mergeCell ref="P61:W61"/>
    <mergeCell ref="R70:U70"/>
    <mergeCell ref="R82:U82"/>
    <mergeCell ref="P77:V77"/>
    <mergeCell ref="BC13:BD13"/>
    <mergeCell ref="AZ19:BA19"/>
    <mergeCell ref="R51:W51"/>
    <mergeCell ref="P50:W50"/>
    <mergeCell ref="AF13:AT13"/>
    <mergeCell ref="AI25:AJ25"/>
    <mergeCell ref="AF25:AG25"/>
    <mergeCell ref="AR14:AT14"/>
    <mergeCell ref="AF19:AH19"/>
    <mergeCell ref="AJ19:AL19"/>
    <mergeCell ref="AR19:AT19"/>
    <mergeCell ref="AF14:AH14"/>
    <mergeCell ref="AJ14:AL14"/>
    <mergeCell ref="AN14:AP14"/>
    <mergeCell ref="AF24:AJ24"/>
    <mergeCell ref="P44:R44"/>
    <mergeCell ref="AF8:AH8"/>
    <mergeCell ref="AJ8:AL8"/>
    <mergeCell ref="AN8:AP8"/>
    <mergeCell ref="AJ2:AL2"/>
    <mergeCell ref="AZ13:BA13"/>
    <mergeCell ref="A37:I37"/>
    <mergeCell ref="A38:C38"/>
    <mergeCell ref="E38:F38"/>
    <mergeCell ref="H38:I38"/>
    <mergeCell ref="AF2:AH2"/>
    <mergeCell ref="A25:C25"/>
    <mergeCell ref="E25:F25"/>
    <mergeCell ref="H25:I25"/>
    <mergeCell ref="A31:I31"/>
    <mergeCell ref="A32:C32"/>
    <mergeCell ref="E32:F32"/>
    <mergeCell ref="H32:I32"/>
    <mergeCell ref="E18:F18"/>
    <mergeCell ref="H18:I18"/>
    <mergeCell ref="A18:C18"/>
    <mergeCell ref="A24:I24"/>
    <mergeCell ref="A2:C2"/>
    <mergeCell ref="E2:H2"/>
    <mergeCell ref="A1:H1"/>
    <mergeCell ref="A17:I17"/>
    <mergeCell ref="B9:C9"/>
    <mergeCell ref="E9:F9"/>
    <mergeCell ref="H9:I9"/>
    <mergeCell ref="A9:A11"/>
    <mergeCell ref="A13:A15"/>
    <mergeCell ref="B13:C13"/>
    <mergeCell ref="E13:F13"/>
    <mergeCell ref="H13:I13"/>
    <mergeCell ref="A8:I8"/>
    <mergeCell ref="T44:V44"/>
    <mergeCell ref="X44:Z44"/>
    <mergeCell ref="P18:R18"/>
    <mergeCell ref="T18:V18"/>
    <mergeCell ref="P24:R24"/>
    <mergeCell ref="T24:V24"/>
    <mergeCell ref="X24:Z24"/>
    <mergeCell ref="P29:R29"/>
    <mergeCell ref="X29:Z29"/>
    <mergeCell ref="P23:Z23"/>
    <mergeCell ref="P34:R34"/>
    <mergeCell ref="T34:V34"/>
    <mergeCell ref="X34:Z34"/>
    <mergeCell ref="P39:R39"/>
    <mergeCell ref="X39:Z39"/>
    <mergeCell ref="P8:R8"/>
    <mergeCell ref="T8:V8"/>
    <mergeCell ref="P13:R13"/>
    <mergeCell ref="X8:Z8"/>
    <mergeCell ref="T13:V13"/>
    <mergeCell ref="P7:Z7"/>
    <mergeCell ref="P2:R2"/>
    <mergeCell ref="T2:V2"/>
    <mergeCell ref="BB2:BC2"/>
    <mergeCell ref="AW1:BE1"/>
    <mergeCell ref="BC7:BD7"/>
    <mergeCell ref="AZ7:BA7"/>
    <mergeCell ref="X2:Z2"/>
    <mergeCell ref="AB2:AD2"/>
    <mergeCell ref="P1:AD1"/>
    <mergeCell ref="AW2:AX2"/>
    <mergeCell ref="AF7:AP7"/>
    <mergeCell ref="AN2:AP2"/>
    <mergeCell ref="AF1:AP1"/>
    <mergeCell ref="AZ31:BA31"/>
    <mergeCell ref="BC31:BD31"/>
    <mergeCell ref="BI19:BJ19"/>
    <mergeCell ref="BC19:BD19"/>
    <mergeCell ref="BF19:BG19"/>
    <mergeCell ref="AZ25:BA25"/>
    <mergeCell ref="BC25:BD2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46"/>
  <sheetViews>
    <sheetView topLeftCell="A124" zoomScale="55" zoomScaleNormal="55" workbookViewId="0">
      <selection activeCell="J16" sqref="J16"/>
    </sheetView>
  </sheetViews>
  <sheetFormatPr defaultColWidth="7.69921875" defaultRowHeight="17.399999999999999"/>
  <cols>
    <col min="1" max="1" width="11" style="11" bestFit="1" customWidth="1"/>
    <col min="2" max="2" width="8.59765625" style="11" customWidth="1"/>
    <col min="3" max="3" width="7.59765625" style="11" bestFit="1" customWidth="1"/>
    <col min="4" max="4" width="7.19921875" style="11" bestFit="1" customWidth="1"/>
    <col min="5" max="5" width="7.59765625" style="11" bestFit="1" customWidth="1"/>
    <col min="6" max="7" width="8.59765625" style="11" bestFit="1" customWidth="1"/>
    <col min="8" max="8" width="7.59765625" style="11" bestFit="1" customWidth="1"/>
    <col min="9" max="10" width="8.59765625" style="11" bestFit="1" customWidth="1"/>
    <col min="11" max="11" width="7.19921875" style="11" bestFit="1" customWidth="1"/>
    <col min="12" max="13" width="7.59765625" style="11" bestFit="1" customWidth="1"/>
    <col min="14" max="14" width="8.09765625" style="11" bestFit="1" customWidth="1"/>
    <col min="15" max="15" width="7.69921875" style="11"/>
    <col min="16" max="16" width="11.8984375" style="11" bestFit="1" customWidth="1"/>
    <col min="17" max="17" width="8.09765625" style="11" bestFit="1" customWidth="1"/>
    <col min="18" max="19" width="7.19921875" style="11" bestFit="1" customWidth="1"/>
    <col min="20" max="20" width="7.19921875" style="11" customWidth="1"/>
    <col min="21" max="25" width="7.19921875" style="11" bestFit="1" customWidth="1"/>
    <col min="26" max="29" width="8.5" style="11" bestFit="1" customWidth="1"/>
    <col min="30" max="16384" width="7.69921875" style="11"/>
  </cols>
  <sheetData>
    <row r="1" spans="1:14">
      <c r="A1" s="11" t="s">
        <v>372</v>
      </c>
      <c r="B1" s="57" t="s">
        <v>11</v>
      </c>
      <c r="C1" s="57" t="s">
        <v>373</v>
      </c>
      <c r="D1" s="57" t="s">
        <v>374</v>
      </c>
      <c r="E1" s="57" t="s">
        <v>14</v>
      </c>
      <c r="F1" s="57" t="s">
        <v>15</v>
      </c>
      <c r="G1" s="57" t="s">
        <v>16</v>
      </c>
      <c r="H1" s="57" t="s">
        <v>17</v>
      </c>
      <c r="I1" s="57" t="s">
        <v>18</v>
      </c>
      <c r="J1" s="57" t="s">
        <v>19</v>
      </c>
      <c r="K1" s="57" t="s">
        <v>20</v>
      </c>
      <c r="L1" s="57" t="s">
        <v>21</v>
      </c>
      <c r="M1" s="57" t="s">
        <v>22</v>
      </c>
      <c r="N1" s="57" t="s">
        <v>23</v>
      </c>
    </row>
    <row r="2" spans="1:14">
      <c r="A2" s="11" t="s">
        <v>48</v>
      </c>
      <c r="B2" s="57">
        <v>176</v>
      </c>
      <c r="C2" s="57">
        <v>34</v>
      </c>
      <c r="D2" s="57">
        <v>1</v>
      </c>
      <c r="E2" s="57">
        <v>5</v>
      </c>
      <c r="F2" s="57">
        <v>64</v>
      </c>
      <c r="G2" s="57">
        <v>84</v>
      </c>
      <c r="H2" s="57">
        <v>4</v>
      </c>
      <c r="I2" s="57">
        <v>44</v>
      </c>
      <c r="J2" s="57">
        <v>40</v>
      </c>
      <c r="K2" s="57">
        <v>0.37</v>
      </c>
      <c r="L2" s="57">
        <v>0.42</v>
      </c>
      <c r="M2" s="57">
        <v>0.47699999999999998</v>
      </c>
      <c r="N2" s="57">
        <v>0.89700000000000002</v>
      </c>
    </row>
    <row r="3" spans="1:14">
      <c r="A3" s="11" t="s">
        <v>49</v>
      </c>
      <c r="B3" s="57">
        <v>177</v>
      </c>
      <c r="C3" s="57">
        <v>40</v>
      </c>
      <c r="D3" s="57">
        <v>2</v>
      </c>
      <c r="E3" s="57">
        <v>20</v>
      </c>
      <c r="F3" s="57">
        <v>78</v>
      </c>
      <c r="G3" s="57">
        <v>91</v>
      </c>
      <c r="H3" s="57">
        <v>20</v>
      </c>
      <c r="I3" s="57">
        <v>51</v>
      </c>
      <c r="J3" s="57">
        <v>64</v>
      </c>
      <c r="K3" s="57">
        <v>0.36599999999999999</v>
      </c>
      <c r="L3" s="57">
        <v>0.42399999999999999</v>
      </c>
      <c r="M3" s="57">
        <v>0.58199999999999996</v>
      </c>
      <c r="N3" s="57">
        <v>1.006</v>
      </c>
    </row>
    <row r="4" spans="1:14">
      <c r="A4" s="11" t="s">
        <v>50</v>
      </c>
      <c r="B4" s="57">
        <v>141</v>
      </c>
      <c r="C4" s="57">
        <v>25</v>
      </c>
      <c r="D4" s="57">
        <v>4</v>
      </c>
      <c r="E4" s="57">
        <v>3</v>
      </c>
      <c r="F4" s="57">
        <v>47</v>
      </c>
      <c r="G4" s="57">
        <v>84</v>
      </c>
      <c r="H4" s="57">
        <v>11</v>
      </c>
      <c r="I4" s="57">
        <v>57</v>
      </c>
      <c r="J4" s="57">
        <v>51</v>
      </c>
      <c r="K4" s="57">
        <v>0.36299999999999999</v>
      </c>
      <c r="L4" s="57">
        <v>0.441</v>
      </c>
      <c r="M4" s="57">
        <v>0.47199999999999998</v>
      </c>
      <c r="N4" s="57">
        <v>0.91300000000000003</v>
      </c>
    </row>
    <row r="5" spans="1:14">
      <c r="A5" s="11" t="s">
        <v>51</v>
      </c>
      <c r="B5" s="57">
        <v>173</v>
      </c>
      <c r="C5" s="57">
        <v>42</v>
      </c>
      <c r="D5" s="57">
        <v>2</v>
      </c>
      <c r="E5" s="57">
        <v>24</v>
      </c>
      <c r="F5" s="57">
        <v>99</v>
      </c>
      <c r="G5" s="57">
        <v>103</v>
      </c>
      <c r="H5" s="57">
        <v>17</v>
      </c>
      <c r="I5" s="57">
        <v>60</v>
      </c>
      <c r="J5" s="57">
        <v>116</v>
      </c>
      <c r="K5" s="57">
        <v>0.34699999999999998</v>
      </c>
      <c r="L5" s="57">
        <v>0.41499999999999998</v>
      </c>
      <c r="M5" s="57">
        <v>0.58399999999999996</v>
      </c>
      <c r="N5" s="57">
        <v>1</v>
      </c>
    </row>
    <row r="6" spans="1:14">
      <c r="A6" s="11" t="s">
        <v>52</v>
      </c>
      <c r="B6" s="57">
        <v>175</v>
      </c>
      <c r="C6" s="57">
        <v>23</v>
      </c>
      <c r="D6" s="57">
        <v>2</v>
      </c>
      <c r="E6" s="57">
        <v>14</v>
      </c>
      <c r="F6" s="57">
        <v>90</v>
      </c>
      <c r="G6" s="57">
        <v>83</v>
      </c>
      <c r="H6" s="57">
        <v>4</v>
      </c>
      <c r="I6" s="57">
        <v>78</v>
      </c>
      <c r="J6" s="57">
        <v>88</v>
      </c>
      <c r="K6" s="57">
        <v>0.34399999999999997</v>
      </c>
      <c r="L6" s="57">
        <v>0.42499999999999999</v>
      </c>
      <c r="M6" s="57">
        <v>0.47899999999999998</v>
      </c>
      <c r="N6" s="57">
        <v>0.90400000000000003</v>
      </c>
    </row>
    <row r="7" spans="1:14">
      <c r="A7" s="11" t="s">
        <v>53</v>
      </c>
      <c r="B7" s="57">
        <v>176</v>
      </c>
      <c r="C7" s="57">
        <v>36</v>
      </c>
      <c r="D7" s="57">
        <v>3</v>
      </c>
      <c r="E7" s="57">
        <v>26</v>
      </c>
      <c r="F7" s="57">
        <v>120</v>
      </c>
      <c r="G7" s="57">
        <v>98</v>
      </c>
      <c r="H7" s="57">
        <v>0</v>
      </c>
      <c r="I7" s="57">
        <v>107</v>
      </c>
      <c r="J7" s="57">
        <v>82</v>
      </c>
      <c r="K7" s="57">
        <v>0.34200000000000003</v>
      </c>
      <c r="L7" s="57">
        <v>0.45</v>
      </c>
      <c r="M7" s="57">
        <v>0.57599999999999996</v>
      </c>
      <c r="N7" s="57">
        <v>1.026</v>
      </c>
    </row>
    <row r="8" spans="1:14">
      <c r="A8" s="11" t="s">
        <v>54</v>
      </c>
      <c r="B8" s="57">
        <v>185</v>
      </c>
      <c r="C8" s="57">
        <v>34</v>
      </c>
      <c r="D8" s="57">
        <v>2</v>
      </c>
      <c r="E8" s="57">
        <v>35</v>
      </c>
      <c r="F8" s="57">
        <v>115</v>
      </c>
      <c r="G8" s="57">
        <v>110</v>
      </c>
      <c r="H8" s="57">
        <v>4</v>
      </c>
      <c r="I8" s="57">
        <v>88</v>
      </c>
      <c r="J8" s="57">
        <v>123</v>
      </c>
      <c r="K8" s="57">
        <v>0.34</v>
      </c>
      <c r="L8" s="57">
        <v>0.42899999999999999</v>
      </c>
      <c r="M8" s="57">
        <v>0.60299999999999998</v>
      </c>
      <c r="N8" s="57">
        <v>1.032</v>
      </c>
    </row>
    <row r="9" spans="1:14">
      <c r="A9" s="11" t="s">
        <v>55</v>
      </c>
      <c r="B9" s="57">
        <v>151</v>
      </c>
      <c r="C9" s="57">
        <v>30</v>
      </c>
      <c r="D9" s="57">
        <v>1</v>
      </c>
      <c r="E9" s="57">
        <v>37</v>
      </c>
      <c r="F9" s="57">
        <v>111</v>
      </c>
      <c r="G9" s="57">
        <v>100</v>
      </c>
      <c r="H9" s="57">
        <v>10</v>
      </c>
      <c r="I9" s="57">
        <v>60</v>
      </c>
      <c r="J9" s="57">
        <v>61</v>
      </c>
      <c r="K9" s="57">
        <v>0.33900000000000002</v>
      </c>
      <c r="L9" s="57">
        <v>0.41399999999999998</v>
      </c>
      <c r="M9" s="57">
        <v>0.66100000000000003</v>
      </c>
      <c r="N9" s="57">
        <v>1.0740000000000001</v>
      </c>
    </row>
    <row r="10" spans="1:14">
      <c r="A10" s="11" t="s">
        <v>56</v>
      </c>
      <c r="B10" s="57">
        <v>193</v>
      </c>
      <c r="C10" s="57">
        <v>35</v>
      </c>
      <c r="D10" s="57">
        <v>4</v>
      </c>
      <c r="E10" s="57">
        <v>20</v>
      </c>
      <c r="F10" s="57">
        <v>80</v>
      </c>
      <c r="G10" s="57">
        <v>113</v>
      </c>
      <c r="H10" s="57">
        <v>25</v>
      </c>
      <c r="I10" s="57">
        <v>87</v>
      </c>
      <c r="J10" s="57">
        <v>96</v>
      </c>
      <c r="K10" s="57">
        <v>0.33500000000000002</v>
      </c>
      <c r="L10" s="57">
        <v>0.42</v>
      </c>
      <c r="M10" s="57">
        <v>0.51400000000000001</v>
      </c>
      <c r="N10" s="57">
        <v>0.93400000000000005</v>
      </c>
    </row>
    <row r="11" spans="1:14">
      <c r="A11" s="11" t="s">
        <v>57</v>
      </c>
      <c r="B11" s="57">
        <v>179</v>
      </c>
      <c r="C11" s="57">
        <v>28</v>
      </c>
      <c r="D11" s="57">
        <v>3</v>
      </c>
      <c r="E11" s="57">
        <v>6</v>
      </c>
      <c r="F11" s="57">
        <v>76</v>
      </c>
      <c r="G11" s="57">
        <v>87</v>
      </c>
      <c r="H11" s="57">
        <v>15</v>
      </c>
      <c r="I11" s="57">
        <v>68</v>
      </c>
      <c r="J11" s="57">
        <v>68</v>
      </c>
      <c r="K11" s="57">
        <v>0.33200000000000002</v>
      </c>
      <c r="L11" s="57">
        <v>0.40300000000000002</v>
      </c>
      <c r="M11" s="57">
        <v>0.42899999999999999</v>
      </c>
      <c r="N11" s="57">
        <v>0.83199999999999996</v>
      </c>
    </row>
    <row r="12" spans="1:14">
      <c r="A12" s="11" t="s">
        <v>58</v>
      </c>
      <c r="B12" s="57">
        <v>154</v>
      </c>
      <c r="C12" s="57">
        <v>24</v>
      </c>
      <c r="D12" s="57">
        <v>4</v>
      </c>
      <c r="E12" s="57">
        <v>9</v>
      </c>
      <c r="F12" s="57">
        <v>63</v>
      </c>
      <c r="G12" s="57">
        <v>79</v>
      </c>
      <c r="H12" s="57">
        <v>8</v>
      </c>
      <c r="I12" s="57">
        <v>31</v>
      </c>
      <c r="J12" s="57">
        <v>57</v>
      </c>
      <c r="K12" s="57">
        <v>0.33200000000000002</v>
      </c>
      <c r="L12" s="57">
        <v>0.371</v>
      </c>
      <c r="M12" s="57">
        <v>0.45900000000000002</v>
      </c>
      <c r="N12" s="57">
        <v>0.83099999999999996</v>
      </c>
    </row>
    <row r="13" spans="1:14">
      <c r="A13" s="11" t="s">
        <v>59</v>
      </c>
      <c r="B13" s="57">
        <v>143</v>
      </c>
      <c r="C13" s="57">
        <v>26</v>
      </c>
      <c r="D13" s="57">
        <v>0</v>
      </c>
      <c r="E13" s="57">
        <v>13</v>
      </c>
      <c r="F13" s="57">
        <v>75</v>
      </c>
      <c r="G13" s="57">
        <v>71</v>
      </c>
      <c r="H13" s="57">
        <v>2</v>
      </c>
      <c r="I13" s="57">
        <v>24</v>
      </c>
      <c r="J13" s="57">
        <v>88</v>
      </c>
      <c r="K13" s="57">
        <v>0.32700000000000001</v>
      </c>
      <c r="L13" s="57">
        <v>0.35599999999999998</v>
      </c>
      <c r="M13" s="57">
        <v>0.47599999999999998</v>
      </c>
      <c r="N13" s="57">
        <v>0.83199999999999996</v>
      </c>
    </row>
    <row r="14" spans="1:14">
      <c r="A14" s="11" t="s">
        <v>60</v>
      </c>
      <c r="B14" s="57">
        <v>179</v>
      </c>
      <c r="C14" s="57">
        <v>29</v>
      </c>
      <c r="D14" s="57">
        <v>8</v>
      </c>
      <c r="E14" s="57">
        <v>2</v>
      </c>
      <c r="F14" s="57">
        <v>47</v>
      </c>
      <c r="G14" s="57">
        <v>111</v>
      </c>
      <c r="H14" s="57">
        <v>12</v>
      </c>
      <c r="I14" s="57">
        <v>66</v>
      </c>
      <c r="J14" s="57">
        <v>67</v>
      </c>
      <c r="K14" s="57">
        <v>0.32400000000000001</v>
      </c>
      <c r="L14" s="57">
        <v>0.39500000000000002</v>
      </c>
      <c r="M14" s="57">
        <v>0.41699999999999998</v>
      </c>
      <c r="N14" s="57">
        <v>0.81200000000000006</v>
      </c>
    </row>
    <row r="15" spans="1:14">
      <c r="A15" s="11" t="s">
        <v>61</v>
      </c>
      <c r="B15" s="57">
        <v>146</v>
      </c>
      <c r="C15" s="57">
        <v>27</v>
      </c>
      <c r="D15" s="57">
        <v>1</v>
      </c>
      <c r="E15" s="57">
        <v>18</v>
      </c>
      <c r="F15" s="57">
        <v>69</v>
      </c>
      <c r="G15" s="57">
        <v>76</v>
      </c>
      <c r="H15" s="57">
        <v>2</v>
      </c>
      <c r="I15" s="57">
        <v>37</v>
      </c>
      <c r="J15" s="57">
        <v>70</v>
      </c>
      <c r="K15" s="57">
        <v>0.32100000000000001</v>
      </c>
      <c r="L15" s="57">
        <v>0.37</v>
      </c>
      <c r="M15" s="57">
        <v>0.503</v>
      </c>
      <c r="N15" s="57">
        <v>0.874</v>
      </c>
    </row>
    <row r="16" spans="1:14">
      <c r="A16" s="11" t="s">
        <v>62</v>
      </c>
      <c r="B16" s="57">
        <v>173</v>
      </c>
      <c r="C16" s="57">
        <v>13</v>
      </c>
      <c r="D16" s="57">
        <v>0</v>
      </c>
      <c r="E16" s="57">
        <v>34</v>
      </c>
      <c r="F16" s="57">
        <v>111</v>
      </c>
      <c r="G16" s="57">
        <v>73</v>
      </c>
      <c r="H16" s="57">
        <v>1</v>
      </c>
      <c r="I16" s="57">
        <v>65</v>
      </c>
      <c r="J16" s="57">
        <v>84</v>
      </c>
      <c r="K16" s="57">
        <v>0.32</v>
      </c>
      <c r="L16" s="57">
        <v>0.39100000000000001</v>
      </c>
      <c r="M16" s="57">
        <v>0.53300000000000003</v>
      </c>
      <c r="N16" s="57">
        <v>0.92500000000000004</v>
      </c>
    </row>
    <row r="17" spans="1:30">
      <c r="A17" s="11" t="s">
        <v>63</v>
      </c>
      <c r="B17" s="57">
        <v>178</v>
      </c>
      <c r="C17" s="57">
        <v>26</v>
      </c>
      <c r="D17" s="57">
        <v>8</v>
      </c>
      <c r="E17" s="57">
        <v>27</v>
      </c>
      <c r="F17" s="57">
        <v>111</v>
      </c>
      <c r="G17" s="57">
        <v>118</v>
      </c>
      <c r="H17" s="57">
        <v>32</v>
      </c>
      <c r="I17" s="57">
        <v>52</v>
      </c>
      <c r="J17" s="57">
        <v>112</v>
      </c>
      <c r="K17" s="57">
        <v>0.32</v>
      </c>
      <c r="L17" s="57">
        <v>0.372</v>
      </c>
      <c r="M17" s="57">
        <v>0.54</v>
      </c>
      <c r="N17" s="57">
        <v>0.91300000000000003</v>
      </c>
    </row>
    <row r="18" spans="1:30">
      <c r="A18" s="11" t="s">
        <v>64</v>
      </c>
      <c r="B18" s="57">
        <v>136</v>
      </c>
      <c r="C18" s="57">
        <v>18</v>
      </c>
      <c r="D18" s="57">
        <v>1</v>
      </c>
      <c r="E18" s="57">
        <v>46</v>
      </c>
      <c r="F18" s="57">
        <v>113</v>
      </c>
      <c r="G18" s="57">
        <v>89</v>
      </c>
      <c r="H18" s="57">
        <v>1</v>
      </c>
      <c r="I18" s="57">
        <v>89</v>
      </c>
      <c r="J18" s="57">
        <v>107</v>
      </c>
      <c r="K18" s="57">
        <v>0.316</v>
      </c>
      <c r="L18" s="57">
        <v>0.42699999999999999</v>
      </c>
      <c r="M18" s="57">
        <v>0.68400000000000005</v>
      </c>
      <c r="N18" s="57">
        <v>1.111</v>
      </c>
    </row>
    <row r="19" spans="1:30">
      <c r="A19" s="11" t="s">
        <v>65</v>
      </c>
      <c r="B19" s="57">
        <v>154</v>
      </c>
      <c r="C19" s="57">
        <v>29</v>
      </c>
      <c r="D19" s="57">
        <v>2</v>
      </c>
      <c r="E19" s="57">
        <v>21</v>
      </c>
      <c r="F19" s="57">
        <v>93</v>
      </c>
      <c r="G19" s="57">
        <v>95</v>
      </c>
      <c r="H19" s="57">
        <v>7</v>
      </c>
      <c r="I19" s="57">
        <v>47</v>
      </c>
      <c r="J19" s="57">
        <v>70</v>
      </c>
      <c r="K19" s="57">
        <v>0.316</v>
      </c>
      <c r="L19" s="57">
        <v>0.373</v>
      </c>
      <c r="M19" s="57">
        <v>0.51300000000000001</v>
      </c>
      <c r="N19" s="57">
        <v>0.88600000000000001</v>
      </c>
    </row>
    <row r="20" spans="1:30">
      <c r="A20" s="11" t="s">
        <v>66</v>
      </c>
      <c r="B20" s="57">
        <v>162</v>
      </c>
      <c r="C20" s="57">
        <v>38</v>
      </c>
      <c r="D20" s="57">
        <v>0</v>
      </c>
      <c r="E20" s="57">
        <v>31</v>
      </c>
      <c r="F20" s="57">
        <v>124</v>
      </c>
      <c r="G20" s="57">
        <v>90</v>
      </c>
      <c r="H20" s="57">
        <v>2</v>
      </c>
      <c r="I20" s="57">
        <v>72</v>
      </c>
      <c r="J20" s="57">
        <v>107</v>
      </c>
      <c r="K20" s="57">
        <v>0.315</v>
      </c>
      <c r="L20" s="57">
        <v>0.39600000000000002</v>
      </c>
      <c r="M20" s="57">
        <v>0.56899999999999995</v>
      </c>
      <c r="N20" s="57">
        <v>0.96499999999999997</v>
      </c>
    </row>
    <row r="21" spans="1:30">
      <c r="A21" s="11" t="s">
        <v>67</v>
      </c>
      <c r="B21" s="57">
        <v>168</v>
      </c>
      <c r="C21" s="57">
        <v>30</v>
      </c>
      <c r="D21" s="57">
        <v>1</v>
      </c>
      <c r="E21" s="57">
        <v>20</v>
      </c>
      <c r="F21" s="57">
        <v>105</v>
      </c>
      <c r="G21" s="57">
        <v>90</v>
      </c>
      <c r="H21" s="57">
        <v>0</v>
      </c>
      <c r="I21" s="57">
        <v>41</v>
      </c>
      <c r="J21" s="57">
        <v>85</v>
      </c>
      <c r="K21" s="57">
        <v>0.312</v>
      </c>
      <c r="L21" s="57">
        <v>0.35699999999999998</v>
      </c>
      <c r="M21" s="57">
        <v>0.48299999999999998</v>
      </c>
      <c r="N21" s="57">
        <v>0.84</v>
      </c>
    </row>
    <row r="22" spans="1:30">
      <c r="A22" s="4" t="s">
        <v>375</v>
      </c>
      <c r="B22" s="4">
        <f t="shared" ref="B22:N22" si="0">AVERAGE(B2:B21)</f>
        <v>165.95</v>
      </c>
      <c r="C22" s="4">
        <f t="shared" si="0"/>
        <v>29.35</v>
      </c>
      <c r="D22" s="4">
        <f t="shared" si="0"/>
        <v>2.4500000000000002</v>
      </c>
      <c r="E22" s="4">
        <f t="shared" si="0"/>
        <v>20.55</v>
      </c>
      <c r="F22" s="4">
        <f t="shared" si="0"/>
        <v>89.55</v>
      </c>
      <c r="G22" s="4">
        <f t="shared" si="0"/>
        <v>92.25</v>
      </c>
      <c r="H22" s="4">
        <f t="shared" si="0"/>
        <v>8.85</v>
      </c>
      <c r="I22" s="4">
        <f t="shared" si="0"/>
        <v>61.2</v>
      </c>
      <c r="J22" s="4">
        <f t="shared" si="0"/>
        <v>81.8</v>
      </c>
      <c r="K22" s="4">
        <f t="shared" si="0"/>
        <v>0.33405000000000001</v>
      </c>
      <c r="L22" s="4">
        <f t="shared" si="0"/>
        <v>0.40244999999999997</v>
      </c>
      <c r="M22" s="4">
        <f t="shared" si="0"/>
        <v>0.52769999999999995</v>
      </c>
      <c r="N22" s="4">
        <f t="shared" si="0"/>
        <v>0.93035000000000012</v>
      </c>
    </row>
    <row r="23" spans="1:30">
      <c r="A23" s="4" t="s">
        <v>376</v>
      </c>
      <c r="B23" s="4">
        <f>_xlfn.STDEV.S(B2:B21)</f>
        <v>16.317491422267992</v>
      </c>
      <c r="C23" s="4">
        <f t="shared" ref="C23:N23" si="1">_xlfn.STDEV.S(C2:C21)</f>
        <v>7.1911861257192333</v>
      </c>
      <c r="D23" s="4">
        <f t="shared" si="1"/>
        <v>2.282081229238369</v>
      </c>
      <c r="E23" s="4">
        <f t="shared" si="1"/>
        <v>12.240893500239702</v>
      </c>
      <c r="F23" s="4">
        <f t="shared" si="1"/>
        <v>24.119166870485316</v>
      </c>
      <c r="G23" s="4">
        <f t="shared" si="1"/>
        <v>13.591309142629576</v>
      </c>
      <c r="H23" s="4">
        <f t="shared" si="1"/>
        <v>8.9928334039711277</v>
      </c>
      <c r="I23" s="4">
        <f t="shared" si="1"/>
        <v>21.439265501951269</v>
      </c>
      <c r="J23" s="4">
        <f t="shared" si="1"/>
        <v>23.045949524237113</v>
      </c>
      <c r="K23" s="4">
        <f t="shared" si="1"/>
        <v>1.7421931127476257E-2</v>
      </c>
      <c r="L23" s="4">
        <f t="shared" si="1"/>
        <v>2.8305615957559413E-2</v>
      </c>
      <c r="M23" s="4">
        <f t="shared" si="1"/>
        <v>7.2056337607970103E-2</v>
      </c>
      <c r="N23" s="4">
        <f t="shared" si="1"/>
        <v>8.6907255465994218E-2</v>
      </c>
    </row>
    <row r="26" spans="1:30">
      <c r="A26" s="106" t="s">
        <v>377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P26" s="106" t="s">
        <v>392</v>
      </c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</row>
    <row r="27" spans="1:30">
      <c r="A27" s="4" t="s">
        <v>372</v>
      </c>
      <c r="B27" s="57" t="s">
        <v>11</v>
      </c>
      <c r="C27" s="57" t="s">
        <v>373</v>
      </c>
      <c r="D27" s="57" t="s">
        <v>374</v>
      </c>
      <c r="E27" s="57" t="s">
        <v>14</v>
      </c>
      <c r="F27" s="57" t="s">
        <v>15</v>
      </c>
      <c r="G27" s="57" t="s">
        <v>16</v>
      </c>
      <c r="H27" s="57" t="s">
        <v>17</v>
      </c>
      <c r="I27" s="57" t="s">
        <v>18</v>
      </c>
      <c r="J27" s="57" t="s">
        <v>19</v>
      </c>
      <c r="K27" s="57" t="s">
        <v>20</v>
      </c>
      <c r="L27" s="57" t="s">
        <v>21</v>
      </c>
      <c r="M27" s="57" t="s">
        <v>22</v>
      </c>
      <c r="N27" s="57" t="s">
        <v>23</v>
      </c>
      <c r="P27" s="9"/>
      <c r="Q27" s="9" t="s">
        <v>193</v>
      </c>
      <c r="R27" s="9" t="s">
        <v>194</v>
      </c>
      <c r="S27" s="9" t="s">
        <v>195</v>
      </c>
      <c r="T27" s="9" t="s">
        <v>378</v>
      </c>
      <c r="U27" s="9" t="s">
        <v>379</v>
      </c>
      <c r="V27" s="9" t="s">
        <v>380</v>
      </c>
      <c r="W27" s="9" t="s">
        <v>381</v>
      </c>
      <c r="X27" s="9" t="s">
        <v>382</v>
      </c>
      <c r="Y27" s="9" t="s">
        <v>383</v>
      </c>
      <c r="Z27" s="9" t="s">
        <v>384</v>
      </c>
      <c r="AA27" s="9" t="s">
        <v>385</v>
      </c>
      <c r="AB27" s="9" t="s">
        <v>386</v>
      </c>
      <c r="AC27" s="9" t="s">
        <v>387</v>
      </c>
      <c r="AD27" s="58" t="s">
        <v>395</v>
      </c>
    </row>
    <row r="28" spans="1:30">
      <c r="A28" s="4" t="s">
        <v>48</v>
      </c>
      <c r="B28" s="85">
        <f t="shared" ref="B28:N43" si="2">(B2-B$22)/B$23</f>
        <v>0.61590349520791399</v>
      </c>
      <c r="C28" s="85">
        <f t="shared" si="2"/>
        <v>0.64662489868942508</v>
      </c>
      <c r="D28" s="85">
        <f t="shared" si="2"/>
        <v>-0.63538492031851512</v>
      </c>
      <c r="E28" s="85">
        <f t="shared" si="2"/>
        <v>-1.2703321044085139</v>
      </c>
      <c r="F28" s="85">
        <f t="shared" si="2"/>
        <v>-1.0593234889578875</v>
      </c>
      <c r="G28" s="85">
        <f t="shared" si="2"/>
        <v>-0.60700554401515383</v>
      </c>
      <c r="H28" s="85">
        <f t="shared" si="2"/>
        <v>-0.53931834185411431</v>
      </c>
      <c r="I28" s="85">
        <f t="shared" si="2"/>
        <v>-0.80226629025302032</v>
      </c>
      <c r="J28" s="85">
        <f t="shared" si="2"/>
        <v>-1.8137677493409201</v>
      </c>
      <c r="K28" s="85">
        <f t="shared" si="2"/>
        <v>2.0634911099667343</v>
      </c>
      <c r="L28" s="85">
        <f t="shared" si="2"/>
        <v>0.62001830401125879</v>
      </c>
      <c r="M28" s="85">
        <f t="shared" si="2"/>
        <v>-0.70361611043623284</v>
      </c>
      <c r="N28" s="85">
        <f t="shared" si="2"/>
        <v>-0.38374241392365177</v>
      </c>
      <c r="P28" s="9" t="s">
        <v>199</v>
      </c>
      <c r="Q28" s="86">
        <v>4.6700912028048673</v>
      </c>
      <c r="R28" s="86">
        <v>3.1692810392746744</v>
      </c>
      <c r="S28" s="86">
        <v>2.0958903336135188</v>
      </c>
      <c r="T28" s="86">
        <v>1.0173647816032996</v>
      </c>
      <c r="U28" s="86">
        <v>0.96269230740305478</v>
      </c>
      <c r="V28" s="86">
        <v>0.43402262607917036</v>
      </c>
      <c r="W28" s="86">
        <v>0.326050659810734</v>
      </c>
      <c r="X28" s="86">
        <v>0.15039699368707707</v>
      </c>
      <c r="Y28" s="86">
        <v>0.11451186419431984</v>
      </c>
      <c r="Z28" s="86">
        <v>5.2075181941017318E-2</v>
      </c>
      <c r="AA28" s="86">
        <v>4.1745971410547256E-3</v>
      </c>
      <c r="AB28" s="86">
        <v>3.4428615534998147E-3</v>
      </c>
      <c r="AC28" s="86">
        <v>5.5508937076432205E-6</v>
      </c>
      <c r="AD28" s="58">
        <f>SUM(Q28:AC28)</f>
        <v>12.999999999999995</v>
      </c>
    </row>
    <row r="29" spans="1:30">
      <c r="A29" s="4" t="s">
        <v>49</v>
      </c>
      <c r="B29" s="85">
        <f t="shared" si="2"/>
        <v>0.67718742507934815</v>
      </c>
      <c r="C29" s="85">
        <f t="shared" si="2"/>
        <v>1.4809796066757803</v>
      </c>
      <c r="D29" s="85">
        <f t="shared" si="2"/>
        <v>-0.19718842354712546</v>
      </c>
      <c r="E29" s="85">
        <f t="shared" si="2"/>
        <v>-4.4931360606088974E-2</v>
      </c>
      <c r="F29" s="85">
        <f t="shared" si="2"/>
        <v>-0.47887226213164769</v>
      </c>
      <c r="G29" s="85">
        <f t="shared" si="2"/>
        <v>-9.1970536971993005E-2</v>
      </c>
      <c r="H29" s="85">
        <f t="shared" si="2"/>
        <v>1.239876187973892</v>
      </c>
      <c r="I29" s="85">
        <f t="shared" si="2"/>
        <v>-0.4757625674756284</v>
      </c>
      <c r="J29" s="85">
        <f t="shared" si="2"/>
        <v>-0.7723699985231669</v>
      </c>
      <c r="K29" s="85">
        <f t="shared" si="2"/>
        <v>1.8338954370914369</v>
      </c>
      <c r="L29" s="85">
        <f t="shared" si="2"/>
        <v>0.76133301717621815</v>
      </c>
      <c r="M29" s="85">
        <f t="shared" si="2"/>
        <v>0.75357701768614349</v>
      </c>
      <c r="N29" s="85">
        <f t="shared" si="2"/>
        <v>0.8704681743125674</v>
      </c>
      <c r="P29" s="11" t="s">
        <v>393</v>
      </c>
      <c r="Q29" s="85">
        <f>Q28/13*100</f>
        <v>35.923778483114368</v>
      </c>
      <c r="R29" s="85">
        <f t="shared" ref="R29:AC29" si="3">R28/13*100</f>
        <v>24.379084917497494</v>
      </c>
      <c r="S29" s="85">
        <f t="shared" si="3"/>
        <v>16.122233335488605</v>
      </c>
      <c r="T29" s="85">
        <f t="shared" si="3"/>
        <v>7.8258829354099975</v>
      </c>
      <c r="U29" s="85">
        <f t="shared" si="3"/>
        <v>7.4053254415619589</v>
      </c>
      <c r="V29" s="85">
        <f t="shared" si="3"/>
        <v>3.3386355852243872</v>
      </c>
      <c r="W29" s="85">
        <f t="shared" si="3"/>
        <v>2.5080819985441076</v>
      </c>
      <c r="X29" s="85">
        <f t="shared" si="3"/>
        <v>1.1568999514390543</v>
      </c>
      <c r="Y29" s="85">
        <f t="shared" si="3"/>
        <v>0.88086049380246034</v>
      </c>
      <c r="Z29" s="85">
        <f t="shared" si="3"/>
        <v>0.40057832262321014</v>
      </c>
      <c r="AA29" s="85">
        <f t="shared" si="3"/>
        <v>3.2112285700420962E-2</v>
      </c>
      <c r="AB29" s="85">
        <f t="shared" si="3"/>
        <v>2.6483550411537039E-2</v>
      </c>
      <c r="AC29" s="85">
        <f t="shared" si="3"/>
        <v>4.2699182366486311E-5</v>
      </c>
    </row>
    <row r="30" spans="1:30">
      <c r="A30" s="4" t="s">
        <v>50</v>
      </c>
      <c r="B30" s="85">
        <f t="shared" si="2"/>
        <v>-1.5290340502922815</v>
      </c>
      <c r="C30" s="85">
        <f t="shared" si="2"/>
        <v>-0.60490716329010774</v>
      </c>
      <c r="D30" s="85">
        <f t="shared" si="2"/>
        <v>0.67920456999565393</v>
      </c>
      <c r="E30" s="85">
        <f t="shared" si="2"/>
        <v>-1.4337188702488373</v>
      </c>
      <c r="F30" s="85">
        <f t="shared" si="2"/>
        <v>-1.7641571215326073</v>
      </c>
      <c r="G30" s="85">
        <f t="shared" si="2"/>
        <v>-0.60700554401515383</v>
      </c>
      <c r="H30" s="85">
        <f t="shared" si="2"/>
        <v>0.23907926494563839</v>
      </c>
      <c r="I30" s="85">
        <f t="shared" si="2"/>
        <v>-0.1959022336664353</v>
      </c>
      <c r="J30" s="85">
        <f t="shared" si="2"/>
        <v>-1.3364604468827832</v>
      </c>
      <c r="K30" s="85">
        <f t="shared" si="2"/>
        <v>1.6616986824349635</v>
      </c>
      <c r="L30" s="85">
        <f t="shared" si="2"/>
        <v>1.3619205481272951</v>
      </c>
      <c r="M30" s="85">
        <f t="shared" si="2"/>
        <v>-0.77300625939444123</v>
      </c>
      <c r="N30" s="85">
        <f t="shared" si="2"/>
        <v>-0.19963810739356436</v>
      </c>
      <c r="P30" s="11" t="s">
        <v>394</v>
      </c>
      <c r="Q30" s="85">
        <f>Q29</f>
        <v>35.923778483114368</v>
      </c>
      <c r="R30" s="85">
        <f>Q30+R29</f>
        <v>60.302863400611862</v>
      </c>
      <c r="S30" s="85">
        <f t="shared" ref="S30:AC30" si="4">R30+S29</f>
        <v>76.425096736100471</v>
      </c>
      <c r="T30" s="85">
        <f t="shared" si="4"/>
        <v>84.250979671510464</v>
      </c>
      <c r="U30" s="85">
        <f t="shared" si="4"/>
        <v>91.65630511307242</v>
      </c>
      <c r="V30" s="85">
        <f t="shared" si="4"/>
        <v>94.994940698296801</v>
      </c>
      <c r="W30" s="85">
        <f t="shared" si="4"/>
        <v>97.503022696840915</v>
      </c>
      <c r="X30" s="85">
        <f t="shared" si="4"/>
        <v>98.659922648279974</v>
      </c>
      <c r="Y30" s="85">
        <f t="shared" si="4"/>
        <v>99.540783142082432</v>
      </c>
      <c r="Z30" s="85">
        <f t="shared" si="4"/>
        <v>99.941361464705636</v>
      </c>
      <c r="AA30" s="85">
        <f t="shared" si="4"/>
        <v>99.973473750406058</v>
      </c>
      <c r="AB30" s="85">
        <f t="shared" si="4"/>
        <v>99.999957300817599</v>
      </c>
      <c r="AC30" s="85">
        <f t="shared" si="4"/>
        <v>99.999999999999972</v>
      </c>
    </row>
    <row r="31" spans="1:30">
      <c r="A31" s="4" t="s">
        <v>51</v>
      </c>
      <c r="B31" s="85">
        <f t="shared" si="2"/>
        <v>0.4320517055936115</v>
      </c>
      <c r="C31" s="85">
        <f t="shared" si="2"/>
        <v>1.759097842671232</v>
      </c>
      <c r="D31" s="85">
        <f t="shared" si="2"/>
        <v>-0.19718842354712546</v>
      </c>
      <c r="E31" s="85">
        <f t="shared" si="2"/>
        <v>0.28184217107455767</v>
      </c>
      <c r="F31" s="85">
        <f t="shared" si="2"/>
        <v>0.39180457810771196</v>
      </c>
      <c r="G31" s="85">
        <f t="shared" si="2"/>
        <v>0.79094661795913979</v>
      </c>
      <c r="H31" s="85">
        <f t="shared" si="2"/>
        <v>0.90627721363114078</v>
      </c>
      <c r="I31" s="85">
        <f t="shared" si="2"/>
        <v>-5.5972066761838753E-2</v>
      </c>
      <c r="J31" s="85">
        <f t="shared" si="2"/>
        <v>1.4839917949152985</v>
      </c>
      <c r="K31" s="85">
        <f t="shared" si="2"/>
        <v>0.7433159909337731</v>
      </c>
      <c r="L31" s="85">
        <f t="shared" si="2"/>
        <v>0.44337491255505962</v>
      </c>
      <c r="M31" s="85">
        <f t="shared" si="2"/>
        <v>0.78133307726942691</v>
      </c>
      <c r="N31" s="85">
        <f t="shared" si="2"/>
        <v>0.80142905936378461</v>
      </c>
    </row>
    <row r="32" spans="1:30">
      <c r="A32" s="4" t="s">
        <v>52</v>
      </c>
      <c r="B32" s="85">
        <f t="shared" si="2"/>
        <v>0.55461956533647983</v>
      </c>
      <c r="C32" s="85">
        <f t="shared" si="2"/>
        <v>-0.88302539928555945</v>
      </c>
      <c r="D32" s="85">
        <f t="shared" si="2"/>
        <v>-0.19718842354712546</v>
      </c>
      <c r="E32" s="85">
        <f t="shared" si="2"/>
        <v>-0.53509165812705894</v>
      </c>
      <c r="F32" s="85">
        <f t="shared" si="2"/>
        <v>1.8657360862272113E-2</v>
      </c>
      <c r="G32" s="85">
        <f t="shared" si="2"/>
        <v>-0.68058197359274819</v>
      </c>
      <c r="H32" s="85">
        <f t="shared" si="2"/>
        <v>-0.53931834185411431</v>
      </c>
      <c r="I32" s="85">
        <f t="shared" si="2"/>
        <v>0.78360893466574055</v>
      </c>
      <c r="J32" s="85">
        <f t="shared" si="2"/>
        <v>0.26902775229458636</v>
      </c>
      <c r="K32" s="85">
        <f t="shared" si="2"/>
        <v>0.57111923627729999</v>
      </c>
      <c r="L32" s="85">
        <f t="shared" si="2"/>
        <v>0.79666169546745791</v>
      </c>
      <c r="M32" s="85">
        <f t="shared" si="2"/>
        <v>-0.67586005085294942</v>
      </c>
      <c r="N32" s="85">
        <f t="shared" si="2"/>
        <v>-0.30319677981673854</v>
      </c>
      <c r="P32" s="106" t="s">
        <v>391</v>
      </c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</row>
    <row r="33" spans="1:29">
      <c r="A33" s="4" t="s">
        <v>53</v>
      </c>
      <c r="B33" s="85">
        <f t="shared" si="2"/>
        <v>0.61590349520791399</v>
      </c>
      <c r="C33" s="85">
        <f t="shared" si="2"/>
        <v>0.92474313468487679</v>
      </c>
      <c r="D33" s="85">
        <f t="shared" si="2"/>
        <v>0.24100807322426426</v>
      </c>
      <c r="E33" s="85">
        <f t="shared" si="2"/>
        <v>0.44522893691488102</v>
      </c>
      <c r="F33" s="85">
        <f t="shared" si="2"/>
        <v>1.2624814183470716</v>
      </c>
      <c r="G33" s="85">
        <f t="shared" si="2"/>
        <v>0.42306447007116782</v>
      </c>
      <c r="H33" s="85">
        <f t="shared" si="2"/>
        <v>-0.98411697431111589</v>
      </c>
      <c r="I33" s="85">
        <f t="shared" si="2"/>
        <v>2.1362672147435071</v>
      </c>
      <c r="J33" s="85">
        <f t="shared" si="2"/>
        <v>8.678314590148067E-3</v>
      </c>
      <c r="K33" s="85">
        <f t="shared" si="2"/>
        <v>0.45632139983965431</v>
      </c>
      <c r="L33" s="85">
        <f t="shared" si="2"/>
        <v>1.6798786527484537</v>
      </c>
      <c r="M33" s="85">
        <f t="shared" si="2"/>
        <v>0.67030883893629334</v>
      </c>
      <c r="N33" s="85">
        <f t="shared" si="2"/>
        <v>1.1005985574751767</v>
      </c>
      <c r="P33" s="9"/>
      <c r="Q33" s="9" t="s">
        <v>193</v>
      </c>
      <c r="R33" s="9" t="s">
        <v>194</v>
      </c>
      <c r="S33" s="9" t="s">
        <v>195</v>
      </c>
      <c r="T33" s="9" t="s">
        <v>378</v>
      </c>
      <c r="U33" s="9" t="s">
        <v>379</v>
      </c>
      <c r="V33" s="9" t="s">
        <v>380</v>
      </c>
      <c r="W33" s="9" t="s">
        <v>381</v>
      </c>
      <c r="X33" s="9" t="s">
        <v>382</v>
      </c>
      <c r="Y33" s="9" t="s">
        <v>383</v>
      </c>
      <c r="Z33" s="9" t="s">
        <v>384</v>
      </c>
      <c r="AA33" s="9" t="s">
        <v>385</v>
      </c>
      <c r="AB33" s="9" t="s">
        <v>386</v>
      </c>
      <c r="AC33" s="9" t="s">
        <v>387</v>
      </c>
    </row>
    <row r="34" spans="1:29">
      <c r="A34" s="4" t="s">
        <v>54</v>
      </c>
      <c r="B34" s="85">
        <f t="shared" si="2"/>
        <v>1.1674588640508214</v>
      </c>
      <c r="C34" s="85">
        <f t="shared" si="2"/>
        <v>0.64662489868942508</v>
      </c>
      <c r="D34" s="85">
        <f t="shared" si="2"/>
        <v>-0.19718842354712546</v>
      </c>
      <c r="E34" s="85">
        <f t="shared" si="2"/>
        <v>1.180469383196336</v>
      </c>
      <c r="F34" s="85">
        <f t="shared" si="2"/>
        <v>1.0551774087662718</v>
      </c>
      <c r="G34" s="85">
        <f t="shared" si="2"/>
        <v>1.3059816250023006</v>
      </c>
      <c r="H34" s="85">
        <f t="shared" si="2"/>
        <v>-0.53931834185411431</v>
      </c>
      <c r="I34" s="85">
        <f t="shared" si="2"/>
        <v>1.2500428243477291</v>
      </c>
      <c r="J34" s="85">
        <f t="shared" si="2"/>
        <v>1.7877328055704766</v>
      </c>
      <c r="K34" s="85">
        <f t="shared" si="2"/>
        <v>0.34152356340200551</v>
      </c>
      <c r="L34" s="85">
        <f t="shared" si="2"/>
        <v>0.93797640863241727</v>
      </c>
      <c r="M34" s="85">
        <f t="shared" si="2"/>
        <v>1.045015643310619</v>
      </c>
      <c r="N34" s="85">
        <f t="shared" si="2"/>
        <v>1.1696376724239594</v>
      </c>
      <c r="P34" s="9" t="s">
        <v>11</v>
      </c>
      <c r="Q34" s="86">
        <v>7.8316561056825246E-2</v>
      </c>
      <c r="R34" s="86">
        <v>0.40290180903276152</v>
      </c>
      <c r="S34" s="86">
        <v>-0.11610651717823472</v>
      </c>
      <c r="T34" s="86">
        <v>6.2177297411238454E-3</v>
      </c>
      <c r="U34" s="86">
        <v>0.54533978697069807</v>
      </c>
      <c r="V34" s="86">
        <v>-0.47688174796442345</v>
      </c>
      <c r="W34" s="86">
        <v>-0.29440839981795702</v>
      </c>
      <c r="X34" s="86">
        <v>-0.11974911662457366</v>
      </c>
      <c r="Y34" s="86">
        <v>-0.28885050831288833</v>
      </c>
      <c r="Z34" s="86">
        <v>-0.25797101832196356</v>
      </c>
      <c r="AA34" s="86">
        <v>-9.7060209781027307E-2</v>
      </c>
      <c r="AB34" s="86">
        <v>0.18105294371812772</v>
      </c>
      <c r="AC34" s="86">
        <v>-2.2154545718092783E-3</v>
      </c>
    </row>
    <row r="35" spans="1:29">
      <c r="A35" s="4" t="s">
        <v>55</v>
      </c>
      <c r="B35" s="85">
        <f t="shared" si="2"/>
        <v>-0.91619475157793995</v>
      </c>
      <c r="C35" s="85">
        <f t="shared" si="2"/>
        <v>9.0388426698521623E-2</v>
      </c>
      <c r="D35" s="85">
        <f t="shared" si="2"/>
        <v>-0.63538492031851512</v>
      </c>
      <c r="E35" s="85">
        <f t="shared" si="2"/>
        <v>1.3438561490366594</v>
      </c>
      <c r="F35" s="85">
        <f t="shared" si="2"/>
        <v>0.88933420110163175</v>
      </c>
      <c r="G35" s="85">
        <f t="shared" si="2"/>
        <v>0.5702173292263566</v>
      </c>
      <c r="H35" s="85">
        <f t="shared" si="2"/>
        <v>0.12787960683138799</v>
      </c>
      <c r="I35" s="85">
        <f t="shared" si="2"/>
        <v>-5.5972066761838753E-2</v>
      </c>
      <c r="J35" s="85">
        <f t="shared" si="2"/>
        <v>-0.902544717375386</v>
      </c>
      <c r="K35" s="85">
        <f t="shared" si="2"/>
        <v>0.28412464518318109</v>
      </c>
      <c r="L35" s="85">
        <f t="shared" si="2"/>
        <v>0.40804623426381981</v>
      </c>
      <c r="M35" s="85">
        <f t="shared" si="2"/>
        <v>1.8499413712258375</v>
      </c>
      <c r="N35" s="85">
        <f t="shared" si="2"/>
        <v>1.6529114770654389</v>
      </c>
      <c r="P35" s="9" t="s">
        <v>191</v>
      </c>
      <c r="Q35" s="86">
        <v>0.10859032107860545</v>
      </c>
      <c r="R35" s="86">
        <v>0.29808896319696865</v>
      </c>
      <c r="S35" s="86">
        <v>0.13765987078247269</v>
      </c>
      <c r="T35" s="86">
        <v>0.6686255753367959</v>
      </c>
      <c r="U35" s="86">
        <v>0.24548421914043481</v>
      </c>
      <c r="V35" s="86">
        <v>0.47838720776552512</v>
      </c>
      <c r="W35" s="86">
        <v>1.9251626165212556E-2</v>
      </c>
      <c r="X35" s="86">
        <v>0.20108540318035439</v>
      </c>
      <c r="Y35" s="86">
        <v>0.12622512403009858</v>
      </c>
      <c r="Z35" s="86">
        <v>-0.25209379195529796</v>
      </c>
      <c r="AA35" s="86">
        <v>0.15004937179516836</v>
      </c>
      <c r="AB35" s="86">
        <v>-3.7485231049514602E-2</v>
      </c>
      <c r="AC35" s="86">
        <v>-3.7291936424312063E-3</v>
      </c>
    </row>
    <row r="36" spans="1:29">
      <c r="A36" s="4" t="s">
        <v>56</v>
      </c>
      <c r="B36" s="85">
        <f t="shared" si="2"/>
        <v>1.6577303030222947</v>
      </c>
      <c r="C36" s="85">
        <f t="shared" si="2"/>
        <v>0.78568401668715093</v>
      </c>
      <c r="D36" s="85">
        <f t="shared" si="2"/>
        <v>0.67920456999565393</v>
      </c>
      <c r="E36" s="85">
        <f t="shared" si="2"/>
        <v>-4.4931360606088974E-2</v>
      </c>
      <c r="F36" s="85">
        <f t="shared" si="2"/>
        <v>-0.39595065829932774</v>
      </c>
      <c r="G36" s="85">
        <f t="shared" si="2"/>
        <v>1.5267109137350838</v>
      </c>
      <c r="H36" s="85">
        <f t="shared" si="2"/>
        <v>1.7958744785451437</v>
      </c>
      <c r="I36" s="85">
        <f t="shared" si="2"/>
        <v>1.2033994353795303</v>
      </c>
      <c r="J36" s="85">
        <f t="shared" si="2"/>
        <v>0.61616033590050412</v>
      </c>
      <c r="K36" s="85">
        <f t="shared" si="2"/>
        <v>5.4528972307883498E-2</v>
      </c>
      <c r="L36" s="85">
        <f t="shared" si="2"/>
        <v>0.62001830401125879</v>
      </c>
      <c r="M36" s="85">
        <f t="shared" si="2"/>
        <v>-0.19012900814549014</v>
      </c>
      <c r="N36" s="85">
        <f t="shared" si="2"/>
        <v>4.1998794927175363E-2</v>
      </c>
      <c r="P36" s="9" t="s">
        <v>192</v>
      </c>
      <c r="Q36" s="86">
        <v>-9.6259078937760686E-2</v>
      </c>
      <c r="R36" s="86">
        <v>0.40989201237163214</v>
      </c>
      <c r="S36" s="86">
        <v>-0.27582515288380777</v>
      </c>
      <c r="T36" s="86">
        <v>-0.31490297893414271</v>
      </c>
      <c r="U36" s="86">
        <v>-0.31856416893333223</v>
      </c>
      <c r="V36" s="86">
        <v>0.22157168584248682</v>
      </c>
      <c r="W36" s="86">
        <v>-5.4744386218078617E-2</v>
      </c>
      <c r="X36" s="86">
        <v>-0.35559274207027719</v>
      </c>
      <c r="Y36" s="86">
        <v>0.31369289930113758</v>
      </c>
      <c r="Z36" s="86">
        <v>-0.51128020762148418</v>
      </c>
      <c r="AA36" s="86">
        <v>8.715212769692815E-2</v>
      </c>
      <c r="AB36" s="86">
        <v>9.573427018592076E-4</v>
      </c>
      <c r="AC36" s="86">
        <v>-7.2071794568641552E-3</v>
      </c>
    </row>
    <row r="37" spans="1:29">
      <c r="A37" s="4" t="s">
        <v>57</v>
      </c>
      <c r="B37" s="85">
        <f t="shared" si="2"/>
        <v>0.79975528482221647</v>
      </c>
      <c r="C37" s="85">
        <f t="shared" si="2"/>
        <v>-0.18772980929693012</v>
      </c>
      <c r="D37" s="85">
        <f t="shared" si="2"/>
        <v>0.24100807322426426</v>
      </c>
      <c r="E37" s="85">
        <f t="shared" si="2"/>
        <v>-1.1886387214883523</v>
      </c>
      <c r="F37" s="85">
        <f t="shared" si="2"/>
        <v>-0.56179386596396763</v>
      </c>
      <c r="G37" s="85">
        <f t="shared" si="2"/>
        <v>-0.38627625528237064</v>
      </c>
      <c r="H37" s="85">
        <f t="shared" si="2"/>
        <v>0.68387789740263993</v>
      </c>
      <c r="I37" s="85">
        <f t="shared" si="2"/>
        <v>0.31717504498375204</v>
      </c>
      <c r="J37" s="85">
        <f t="shared" si="2"/>
        <v>-0.598803706720208</v>
      </c>
      <c r="K37" s="85">
        <f t="shared" si="2"/>
        <v>-0.11766778234858971</v>
      </c>
      <c r="L37" s="85">
        <f t="shared" si="2"/>
        <v>1.9430773060183669E-2</v>
      </c>
      <c r="M37" s="85">
        <f t="shared" si="2"/>
        <v>-1.3697615404350334</v>
      </c>
      <c r="N37" s="85">
        <f t="shared" si="2"/>
        <v>-1.131666159202132</v>
      </c>
      <c r="P37" s="9" t="s">
        <v>14</v>
      </c>
      <c r="Q37" s="86">
        <v>0.40782138844423593</v>
      </c>
      <c r="R37" s="86">
        <v>-0.21171363761684589</v>
      </c>
      <c r="S37" s="86">
        <v>-0.11996933601126282</v>
      </c>
      <c r="T37" s="86">
        <v>3.1112177753416653E-2</v>
      </c>
      <c r="U37" s="86">
        <v>-0.13940729918736025</v>
      </c>
      <c r="V37" s="86">
        <v>-0.16397555929382662</v>
      </c>
      <c r="W37" s="86">
        <v>-0.1780423804168515</v>
      </c>
      <c r="X37" s="86">
        <v>-1.8553842726984501E-2</v>
      </c>
      <c r="Y37" s="86">
        <v>-0.21745096917161932</v>
      </c>
      <c r="Z37" s="86">
        <v>-0.16117645270829817</v>
      </c>
      <c r="AA37" s="86">
        <v>0.73770032209911174</v>
      </c>
      <c r="AB37" s="86">
        <v>-0.27833380112771422</v>
      </c>
      <c r="AC37" s="86">
        <v>-1.4088477327197492E-2</v>
      </c>
    </row>
    <row r="38" spans="1:29">
      <c r="A38" s="4" t="s">
        <v>58</v>
      </c>
      <c r="B38" s="85">
        <f t="shared" si="2"/>
        <v>-0.73234296196363746</v>
      </c>
      <c r="C38" s="85">
        <f t="shared" si="2"/>
        <v>-0.7439662812878336</v>
      </c>
      <c r="D38" s="85">
        <f t="shared" si="2"/>
        <v>0.67920456999565393</v>
      </c>
      <c r="E38" s="85">
        <f t="shared" si="2"/>
        <v>-0.94355857272786725</v>
      </c>
      <c r="F38" s="85">
        <f t="shared" si="2"/>
        <v>-1.1007842908740475</v>
      </c>
      <c r="G38" s="85">
        <f t="shared" si="2"/>
        <v>-0.97488769190312585</v>
      </c>
      <c r="H38" s="85">
        <f t="shared" si="2"/>
        <v>-9.4519709397112794E-2</v>
      </c>
      <c r="I38" s="85">
        <f t="shared" si="2"/>
        <v>-1.4086303468396053</v>
      </c>
      <c r="J38" s="85">
        <f t="shared" si="2"/>
        <v>-1.076111009178345</v>
      </c>
      <c r="K38" s="85">
        <f t="shared" si="2"/>
        <v>-0.11766778234858971</v>
      </c>
      <c r="L38" s="85">
        <f t="shared" si="2"/>
        <v>-1.1110869322594907</v>
      </c>
      <c r="M38" s="85">
        <f t="shared" si="2"/>
        <v>-0.95342064668578252</v>
      </c>
      <c r="N38" s="85">
        <f t="shared" si="2"/>
        <v>-1.1431726783602623</v>
      </c>
      <c r="P38" s="9" t="s">
        <v>15</v>
      </c>
      <c r="Q38" s="86">
        <v>0.38789640253765895</v>
      </c>
      <c r="R38" s="86">
        <v>-0.16037758073408517</v>
      </c>
      <c r="S38" s="86">
        <v>-0.17978588406805301</v>
      </c>
      <c r="T38" s="86">
        <v>8.8589646286191454E-2</v>
      </c>
      <c r="U38" s="86">
        <v>0.19255216119237784</v>
      </c>
      <c r="V38" s="86">
        <v>-0.15097269235821348</v>
      </c>
      <c r="W38" s="86">
        <v>-0.26868115684307803</v>
      </c>
      <c r="X38" s="86">
        <v>-0.12689847378556998</v>
      </c>
      <c r="Y38" s="86">
        <v>0.75797582388165485</v>
      </c>
      <c r="Z38" s="86">
        <v>0.22795026432966259</v>
      </c>
      <c r="AA38" s="86">
        <v>-5.6712789917421479E-2</v>
      </c>
      <c r="AB38" s="86">
        <v>7.5987915343979598E-2</v>
      </c>
      <c r="AC38" s="86">
        <v>1.8086547535593161E-3</v>
      </c>
    </row>
    <row r="39" spans="1:29">
      <c r="A39" s="4" t="s">
        <v>59</v>
      </c>
      <c r="B39" s="85">
        <f t="shared" si="2"/>
        <v>-1.4064661905494131</v>
      </c>
      <c r="C39" s="85">
        <f t="shared" si="2"/>
        <v>-0.46584804529238188</v>
      </c>
      <c r="D39" s="85">
        <f t="shared" si="2"/>
        <v>-1.073581417089905</v>
      </c>
      <c r="E39" s="85">
        <f t="shared" si="2"/>
        <v>-0.61678504104722065</v>
      </c>
      <c r="F39" s="85">
        <f t="shared" si="2"/>
        <v>-0.60325466788012772</v>
      </c>
      <c r="G39" s="85">
        <f t="shared" si="2"/>
        <v>-1.5634991285238811</v>
      </c>
      <c r="H39" s="85">
        <f t="shared" si="2"/>
        <v>-0.76171765808261516</v>
      </c>
      <c r="I39" s="85">
        <f t="shared" si="2"/>
        <v>-1.7351340696169975</v>
      </c>
      <c r="J39" s="85">
        <f t="shared" si="2"/>
        <v>0.26902775229458636</v>
      </c>
      <c r="K39" s="85">
        <f t="shared" si="2"/>
        <v>-0.40466237344271172</v>
      </c>
      <c r="L39" s="85">
        <f t="shared" si="2"/>
        <v>-1.6410171066280883</v>
      </c>
      <c r="M39" s="85">
        <f t="shared" si="2"/>
        <v>-0.7174941402278745</v>
      </c>
      <c r="N39" s="85">
        <f t="shared" si="2"/>
        <v>-1.131666159202132</v>
      </c>
      <c r="P39" s="9" t="s">
        <v>16</v>
      </c>
      <c r="Q39" s="86">
        <v>0.2129417173098419</v>
      </c>
      <c r="R39" s="86">
        <v>0.40760820761831945</v>
      </c>
      <c r="S39" s="86">
        <v>-0.26217959485034559</v>
      </c>
      <c r="T39" s="86">
        <v>3.658940745814359E-2</v>
      </c>
      <c r="U39" s="86">
        <v>-0.13228018373589831</v>
      </c>
      <c r="V39" s="86">
        <v>0.31841649107207903</v>
      </c>
      <c r="W39" s="86">
        <v>-0.21504466522764518</v>
      </c>
      <c r="X39" s="86">
        <v>-0.24658718327055396</v>
      </c>
      <c r="Y39" s="86">
        <v>-0.29897385854114145</v>
      </c>
      <c r="Z39" s="86">
        <v>0.63409074295829648</v>
      </c>
      <c r="AA39" s="86">
        <v>-1.6724532112815795E-2</v>
      </c>
      <c r="AB39" s="86">
        <v>-2.6593005562326313E-2</v>
      </c>
      <c r="AC39" s="86">
        <v>7.3862920088565136E-3</v>
      </c>
    </row>
    <row r="40" spans="1:29">
      <c r="A40" s="4" t="s">
        <v>60</v>
      </c>
      <c r="B40" s="85">
        <f t="shared" si="2"/>
        <v>0.79975528482221647</v>
      </c>
      <c r="C40" s="85">
        <f t="shared" si="2"/>
        <v>-4.8670691299204254E-2</v>
      </c>
      <c r="D40" s="85">
        <f t="shared" si="2"/>
        <v>2.4319905570812126</v>
      </c>
      <c r="E40" s="85">
        <f t="shared" si="2"/>
        <v>-1.5154122531689989</v>
      </c>
      <c r="F40" s="85">
        <f t="shared" si="2"/>
        <v>-1.7641571215326073</v>
      </c>
      <c r="G40" s="85">
        <f t="shared" si="2"/>
        <v>1.3795580545798951</v>
      </c>
      <c r="H40" s="85">
        <f t="shared" si="2"/>
        <v>0.35027892305988878</v>
      </c>
      <c r="I40" s="85">
        <f t="shared" si="2"/>
        <v>0.22388826704735434</v>
      </c>
      <c r="J40" s="85">
        <f t="shared" si="2"/>
        <v>-0.64219527967094769</v>
      </c>
      <c r="K40" s="85">
        <f t="shared" si="2"/>
        <v>-0.57685912809918494</v>
      </c>
      <c r="L40" s="85">
        <f t="shared" si="2"/>
        <v>-0.26319865326973496</v>
      </c>
      <c r="M40" s="85">
        <f t="shared" si="2"/>
        <v>-1.5362978979347337</v>
      </c>
      <c r="N40" s="85">
        <f t="shared" si="2"/>
        <v>-1.3617965423647398</v>
      </c>
      <c r="P40" s="9" t="s">
        <v>17</v>
      </c>
      <c r="Q40" s="86">
        <v>-4.8122386131398945E-4</v>
      </c>
      <c r="R40" s="86">
        <v>0.41926608469065518</v>
      </c>
      <c r="S40" s="86">
        <v>-0.20683678829780175</v>
      </c>
      <c r="T40" s="86">
        <v>0.17418579491795505</v>
      </c>
      <c r="U40" s="86">
        <v>-0.43062529252384402</v>
      </c>
      <c r="V40" s="86">
        <v>-0.45204927175878873</v>
      </c>
      <c r="W40" s="86">
        <v>0.1221720526589528</v>
      </c>
      <c r="X40" s="86">
        <v>0.56056141041566254</v>
      </c>
      <c r="Y40" s="86">
        <v>0.14752693391524438</v>
      </c>
      <c r="Z40" s="86">
        <v>0.10053455902414639</v>
      </c>
      <c r="AA40" s="86">
        <v>4.7860832482913624E-4</v>
      </c>
      <c r="AB40" s="86">
        <v>-1.6734305578658001E-2</v>
      </c>
      <c r="AC40" s="86">
        <v>3.4454677126332186E-4</v>
      </c>
    </row>
    <row r="41" spans="1:29">
      <c r="A41" s="4" t="s">
        <v>61</v>
      </c>
      <c r="B41" s="85">
        <f t="shared" si="2"/>
        <v>-1.2226144009351108</v>
      </c>
      <c r="C41" s="85">
        <f t="shared" si="2"/>
        <v>-0.32678892729465597</v>
      </c>
      <c r="D41" s="85">
        <f t="shared" si="2"/>
        <v>-0.63538492031851512</v>
      </c>
      <c r="E41" s="85">
        <f t="shared" si="2"/>
        <v>-0.20831812644641232</v>
      </c>
      <c r="F41" s="85">
        <f t="shared" si="2"/>
        <v>-0.85201947937708755</v>
      </c>
      <c r="G41" s="85">
        <f t="shared" si="2"/>
        <v>-1.1956169806359092</v>
      </c>
      <c r="H41" s="85">
        <f t="shared" si="2"/>
        <v>-0.76171765808261516</v>
      </c>
      <c r="I41" s="85">
        <f t="shared" si="2"/>
        <v>-1.1287700130304124</v>
      </c>
      <c r="J41" s="85">
        <f t="shared" si="2"/>
        <v>-0.5120205608187286</v>
      </c>
      <c r="K41" s="85">
        <f t="shared" si="2"/>
        <v>-0.74905588275565815</v>
      </c>
      <c r="L41" s="85">
        <f t="shared" si="2"/>
        <v>-1.1464156105507306</v>
      </c>
      <c r="M41" s="85">
        <f t="shared" si="2"/>
        <v>-0.34278733585354876</v>
      </c>
      <c r="N41" s="85">
        <f t="shared" si="2"/>
        <v>-0.64839235456065247</v>
      </c>
      <c r="P41" s="9" t="s">
        <v>18</v>
      </c>
      <c r="Q41" s="86">
        <v>0.33352877725307278</v>
      </c>
      <c r="R41" s="86">
        <v>0.16661119039563232</v>
      </c>
      <c r="S41" s="86">
        <v>8.7496531885130832E-2</v>
      </c>
      <c r="T41" s="86">
        <v>-0.51097577477327571</v>
      </c>
      <c r="U41" s="86">
        <v>0.26868478776444255</v>
      </c>
      <c r="V41" s="86">
        <v>0.18964023727456791</v>
      </c>
      <c r="W41" s="86">
        <v>2.5138816126464077E-2</v>
      </c>
      <c r="X41" s="86">
        <v>0.40062692778317444</v>
      </c>
      <c r="Y41" s="86">
        <v>4.0833691739495144E-2</v>
      </c>
      <c r="Z41" s="86">
        <v>-3.6497667364399466E-2</v>
      </c>
      <c r="AA41" s="86">
        <v>-0.18863812696847335</v>
      </c>
      <c r="AB41" s="86">
        <v>-0.53317972292952198</v>
      </c>
      <c r="AC41" s="86">
        <v>9.7015657317936609E-3</v>
      </c>
    </row>
    <row r="42" spans="1:29">
      <c r="A42" s="4" t="s">
        <v>62</v>
      </c>
      <c r="B42" s="85">
        <f t="shared" si="2"/>
        <v>0.4320517055936115</v>
      </c>
      <c r="C42" s="85">
        <f t="shared" si="2"/>
        <v>-2.2736165792628182</v>
      </c>
      <c r="D42" s="85">
        <f t="shared" si="2"/>
        <v>-1.073581417089905</v>
      </c>
      <c r="E42" s="85">
        <f t="shared" si="2"/>
        <v>1.0987760002761744</v>
      </c>
      <c r="F42" s="85">
        <f t="shared" si="2"/>
        <v>0.88933420110163175</v>
      </c>
      <c r="G42" s="85">
        <f t="shared" si="2"/>
        <v>-1.4163462693686923</v>
      </c>
      <c r="H42" s="85">
        <f t="shared" si="2"/>
        <v>-0.87291731619686552</v>
      </c>
      <c r="I42" s="85">
        <f t="shared" si="2"/>
        <v>0.17724487807915551</v>
      </c>
      <c r="J42" s="85">
        <f t="shared" si="2"/>
        <v>9.5461460491627501E-2</v>
      </c>
      <c r="K42" s="85">
        <f t="shared" si="2"/>
        <v>-0.80645480097448252</v>
      </c>
      <c r="L42" s="85">
        <f t="shared" si="2"/>
        <v>-0.40451336643469427</v>
      </c>
      <c r="M42" s="85">
        <f t="shared" si="2"/>
        <v>7.355355789570206E-2</v>
      </c>
      <c r="N42" s="85">
        <f t="shared" si="2"/>
        <v>-6.155987749599881E-2</v>
      </c>
      <c r="P42" s="9" t="s">
        <v>19</v>
      </c>
      <c r="Q42" s="86">
        <v>0.31649246700083777</v>
      </c>
      <c r="R42" s="86">
        <v>-5.9469825471682586E-3</v>
      </c>
      <c r="S42" s="86">
        <v>-0.3573714653262538</v>
      </c>
      <c r="T42" s="86">
        <v>5.4224151827031677E-2</v>
      </c>
      <c r="U42" s="86">
        <v>0.17677650736050485</v>
      </c>
      <c r="V42" s="86">
        <v>-5.6950577622934893E-2</v>
      </c>
      <c r="W42" s="86">
        <v>0.82622386152264349</v>
      </c>
      <c r="X42" s="86">
        <v>-0.21567267056902115</v>
      </c>
      <c r="Y42" s="86">
        <v>-5.4740528315700844E-2</v>
      </c>
      <c r="Z42" s="86">
        <v>-1.6466947461283778E-2</v>
      </c>
      <c r="AA42" s="86">
        <v>-2.7805588343130513E-2</v>
      </c>
      <c r="AB42" s="86">
        <v>3.7964090611146521E-2</v>
      </c>
      <c r="AC42" s="86">
        <v>-2.5589285985487572E-3</v>
      </c>
    </row>
    <row r="43" spans="1:29">
      <c r="A43" s="4" t="s">
        <v>63</v>
      </c>
      <c r="B43" s="85">
        <f t="shared" si="2"/>
        <v>0.73847135495078231</v>
      </c>
      <c r="C43" s="85">
        <f t="shared" si="2"/>
        <v>-0.46584804529238188</v>
      </c>
      <c r="D43" s="85">
        <f t="shared" si="2"/>
        <v>2.4319905570812126</v>
      </c>
      <c r="E43" s="85">
        <f t="shared" si="2"/>
        <v>0.52692231983504267</v>
      </c>
      <c r="F43" s="85">
        <f t="shared" si="2"/>
        <v>0.88933420110163175</v>
      </c>
      <c r="G43" s="85">
        <f t="shared" si="2"/>
        <v>1.894593061623056</v>
      </c>
      <c r="H43" s="85">
        <f t="shared" si="2"/>
        <v>2.5742720853448966</v>
      </c>
      <c r="I43" s="85">
        <f t="shared" si="2"/>
        <v>-0.42911917850742953</v>
      </c>
      <c r="J43" s="85">
        <f t="shared" si="2"/>
        <v>1.3104255031123397</v>
      </c>
      <c r="K43" s="85">
        <f t="shared" si="2"/>
        <v>-0.80645480097448252</v>
      </c>
      <c r="L43" s="85">
        <f t="shared" si="2"/>
        <v>-1.0757582539682511</v>
      </c>
      <c r="M43" s="85">
        <f t="shared" si="2"/>
        <v>0.17069976643719392</v>
      </c>
      <c r="N43" s="85">
        <f t="shared" si="2"/>
        <v>-0.19963810739356436</v>
      </c>
      <c r="P43" s="9" t="s">
        <v>20</v>
      </c>
      <c r="Q43" s="86">
        <v>-3.9190655069317314E-2</v>
      </c>
      <c r="R43" s="86">
        <v>0.26887210026329378</v>
      </c>
      <c r="S43" s="86">
        <v>0.557749962640821</v>
      </c>
      <c r="T43" s="86">
        <v>0.14517218145524849</v>
      </c>
      <c r="U43" s="86">
        <v>-7.0710917414796307E-2</v>
      </c>
      <c r="V43" s="86">
        <v>-0.31281653339089033</v>
      </c>
      <c r="W43" s="86">
        <v>0.15756946420212578</v>
      </c>
      <c r="X43" s="86">
        <v>-0.45468064072704539</v>
      </c>
      <c r="Y43" s="86">
        <v>0.13812929988872785</v>
      </c>
      <c r="Z43" s="86">
        <v>0.12720003846115957</v>
      </c>
      <c r="AA43" s="86">
        <v>1.7107815505481266E-2</v>
      </c>
      <c r="AB43" s="86">
        <v>-0.47331646810087497</v>
      </c>
      <c r="AC43" s="86">
        <v>3.7888067468921918E-3</v>
      </c>
    </row>
    <row r="44" spans="1:29">
      <c r="A44" s="4" t="s">
        <v>64</v>
      </c>
      <c r="B44" s="85">
        <f t="shared" ref="B44:N47" si="5">(B18-B$22)/B$23</f>
        <v>-1.8354536996494524</v>
      </c>
      <c r="C44" s="85">
        <f t="shared" si="5"/>
        <v>-1.5783209892741887</v>
      </c>
      <c r="D44" s="85">
        <f t="shared" si="5"/>
        <v>-0.63538492031851512</v>
      </c>
      <c r="E44" s="85">
        <f t="shared" si="5"/>
        <v>2.0790965953181142</v>
      </c>
      <c r="F44" s="85">
        <f t="shared" si="5"/>
        <v>0.97225580493395181</v>
      </c>
      <c r="G44" s="85">
        <f t="shared" si="5"/>
        <v>-0.23912339612718181</v>
      </c>
      <c r="H44" s="85">
        <f t="shared" si="5"/>
        <v>-0.87291731619686552</v>
      </c>
      <c r="I44" s="85">
        <f t="shared" si="5"/>
        <v>1.2966862133159278</v>
      </c>
      <c r="J44" s="85">
        <f t="shared" si="5"/>
        <v>1.093467638358641</v>
      </c>
      <c r="K44" s="85">
        <f t="shared" si="5"/>
        <v>-1.0360504738497802</v>
      </c>
      <c r="L44" s="85">
        <f t="shared" si="5"/>
        <v>0.86731905204993753</v>
      </c>
      <c r="M44" s="85">
        <f t="shared" si="5"/>
        <v>2.1691360564335964</v>
      </c>
      <c r="N44" s="85">
        <f t="shared" si="5"/>
        <v>2.0786526859162646</v>
      </c>
      <c r="P44" s="9" t="s">
        <v>21</v>
      </c>
      <c r="Q44" s="86">
        <v>0.2302184744908759</v>
      </c>
      <c r="R44" s="86">
        <v>0.23139471542921861</v>
      </c>
      <c r="S44" s="86">
        <v>0.47071830988966451</v>
      </c>
      <c r="T44" s="86">
        <v>-0.32126456863426106</v>
      </c>
      <c r="U44" s="86">
        <v>1.8537935828820424E-2</v>
      </c>
      <c r="V44" s="86">
        <v>4.4966815102273523E-2</v>
      </c>
      <c r="W44" s="86">
        <v>0.15332861201027756</v>
      </c>
      <c r="X44" s="86">
        <v>8.9169854120726894E-2</v>
      </c>
      <c r="Y44" s="86">
        <v>8.3788964200855312E-2</v>
      </c>
      <c r="Z44" s="86">
        <v>0.1306287735315842</v>
      </c>
      <c r="AA44" s="86">
        <v>0.34598609305313333</v>
      </c>
      <c r="AB44" s="86">
        <v>0.57146370121132195</v>
      </c>
      <c r="AC44" s="86">
        <v>-0.25393126687099343</v>
      </c>
    </row>
    <row r="45" spans="1:29">
      <c r="A45" s="4" t="s">
        <v>65</v>
      </c>
      <c r="B45" s="85">
        <f t="shared" si="5"/>
        <v>-0.73234296196363746</v>
      </c>
      <c r="C45" s="85">
        <f t="shared" si="5"/>
        <v>-4.8670691299204254E-2</v>
      </c>
      <c r="D45" s="85">
        <f t="shared" si="5"/>
        <v>-0.19718842354712546</v>
      </c>
      <c r="E45" s="85">
        <f t="shared" si="5"/>
        <v>3.676202231407269E-2</v>
      </c>
      <c r="F45" s="85">
        <f t="shared" si="5"/>
        <v>0.14303976661075207</v>
      </c>
      <c r="G45" s="85">
        <f t="shared" si="5"/>
        <v>0.2023351813383846</v>
      </c>
      <c r="H45" s="85">
        <f t="shared" si="5"/>
        <v>-0.20571936751136319</v>
      </c>
      <c r="I45" s="85">
        <f t="shared" si="5"/>
        <v>-0.66233612334842384</v>
      </c>
      <c r="J45" s="85">
        <f t="shared" si="5"/>
        <v>-0.5120205608187286</v>
      </c>
      <c r="K45" s="85">
        <f t="shared" si="5"/>
        <v>-1.0360504738497802</v>
      </c>
      <c r="L45" s="85">
        <f t="shared" si="5"/>
        <v>-1.0404295756770112</v>
      </c>
      <c r="M45" s="85">
        <f t="shared" si="5"/>
        <v>-0.20400703793713182</v>
      </c>
      <c r="N45" s="85">
        <f t="shared" si="5"/>
        <v>-0.5103141246630869</v>
      </c>
      <c r="P45" s="9" t="s">
        <v>22</v>
      </c>
      <c r="Q45" s="86">
        <v>0.41326451111467077</v>
      </c>
      <c r="R45" s="86">
        <v>-0.11895372572158901</v>
      </c>
      <c r="S45" s="86">
        <v>0.10027051013993046</v>
      </c>
      <c r="T45" s="86">
        <v>0.15590809433666411</v>
      </c>
      <c r="U45" s="86">
        <v>-0.32273206989184311</v>
      </c>
      <c r="V45" s="86">
        <v>-1.1336861568085515E-2</v>
      </c>
      <c r="W45" s="86">
        <v>-0.10903775091733485</v>
      </c>
      <c r="X45" s="86">
        <v>-6.8515320403994995E-2</v>
      </c>
      <c r="Y45" s="86">
        <v>-0.16422333501638239</v>
      </c>
      <c r="Z45" s="86">
        <v>-0.23658019658090929</v>
      </c>
      <c r="AA45" s="86">
        <v>-0.44988010134791212</v>
      </c>
      <c r="AB45" s="86">
        <v>1.6748362247952842E-2</v>
      </c>
      <c r="AC45" s="86">
        <v>-0.61173584648904744</v>
      </c>
    </row>
    <row r="46" spans="1:29">
      <c r="A46" s="4" t="s">
        <v>66</v>
      </c>
      <c r="B46" s="85">
        <f t="shared" si="5"/>
        <v>-0.24207152299216422</v>
      </c>
      <c r="C46" s="85">
        <f t="shared" si="5"/>
        <v>1.2028613706803286</v>
      </c>
      <c r="D46" s="85">
        <f t="shared" si="5"/>
        <v>-1.073581417089905</v>
      </c>
      <c r="E46" s="85">
        <f t="shared" si="5"/>
        <v>0.85369585151568939</v>
      </c>
      <c r="F46" s="85">
        <f t="shared" si="5"/>
        <v>1.4283246260117115</v>
      </c>
      <c r="G46" s="85">
        <f t="shared" si="5"/>
        <v>-0.16554696654958742</v>
      </c>
      <c r="H46" s="85">
        <f t="shared" si="5"/>
        <v>-0.76171765808261516</v>
      </c>
      <c r="I46" s="85">
        <f t="shared" si="5"/>
        <v>0.50374860085654749</v>
      </c>
      <c r="J46" s="85">
        <f t="shared" si="5"/>
        <v>1.093467638358641</v>
      </c>
      <c r="K46" s="85">
        <f t="shared" si="5"/>
        <v>-1.0934493920686046</v>
      </c>
      <c r="L46" s="85">
        <f t="shared" si="5"/>
        <v>-0.22786997497849512</v>
      </c>
      <c r="M46" s="85">
        <f t="shared" si="5"/>
        <v>0.57316263039480153</v>
      </c>
      <c r="N46" s="85">
        <f t="shared" si="5"/>
        <v>0.39870088882921845</v>
      </c>
      <c r="P46" s="9" t="s">
        <v>23</v>
      </c>
      <c r="Q46" s="86">
        <v>0.4170726568837837</v>
      </c>
      <c r="R46" s="86">
        <v>-2.3433783079470191E-2</v>
      </c>
      <c r="S46" s="86">
        <v>0.23488164769274952</v>
      </c>
      <c r="T46" s="86">
        <v>2.4738725176604574E-2</v>
      </c>
      <c r="U46" s="86">
        <v>-0.26166933175450607</v>
      </c>
      <c r="V46" s="86">
        <v>2.3689303938529203E-3</v>
      </c>
      <c r="W46" s="86">
        <v>-3.731473653589093E-2</v>
      </c>
      <c r="X46" s="86">
        <v>-3.0001279831599129E-2</v>
      </c>
      <c r="Y46" s="86">
        <v>-0.10739653318424092</v>
      </c>
      <c r="Z46" s="86">
        <v>-0.16600490210834076</v>
      </c>
      <c r="AA46" s="86">
        <v>-0.2324269999757656</v>
      </c>
      <c r="AB46" s="86">
        <v>0.21208734504397317</v>
      </c>
      <c r="AC46" s="86">
        <v>0.74890316548162283</v>
      </c>
    </row>
    <row r="47" spans="1:29">
      <c r="A47" s="4" t="s">
        <v>67</v>
      </c>
      <c r="B47" s="85">
        <f t="shared" si="5"/>
        <v>0.12563205623644072</v>
      </c>
      <c r="C47" s="85">
        <f t="shared" si="5"/>
        <v>9.0388426698521623E-2</v>
      </c>
      <c r="D47" s="85">
        <f t="shared" si="5"/>
        <v>-0.63538492031851512</v>
      </c>
      <c r="E47" s="85">
        <f t="shared" si="5"/>
        <v>-4.4931360606088974E-2</v>
      </c>
      <c r="F47" s="85">
        <f t="shared" si="5"/>
        <v>0.64056938960467191</v>
      </c>
      <c r="G47" s="85">
        <f t="shared" si="5"/>
        <v>-0.16554696654958742</v>
      </c>
      <c r="H47" s="85">
        <f t="shared" si="5"/>
        <v>-0.98411697431111589</v>
      </c>
      <c r="I47" s="85">
        <f t="shared" si="5"/>
        <v>-0.94219645715761691</v>
      </c>
      <c r="J47" s="85">
        <f t="shared" si="5"/>
        <v>0.13885303344236721</v>
      </c>
      <c r="K47" s="85">
        <f t="shared" si="5"/>
        <v>-1.2656461467250777</v>
      </c>
      <c r="L47" s="85">
        <f t="shared" si="5"/>
        <v>-1.6056884283368484</v>
      </c>
      <c r="M47" s="85">
        <f t="shared" si="5"/>
        <v>-0.62034793168638269</v>
      </c>
      <c r="N47" s="85">
        <f t="shared" si="5"/>
        <v>-1.0396140059370882</v>
      </c>
      <c r="O47" s="4"/>
    </row>
    <row r="48" spans="1:29" s="4" customFormat="1">
      <c r="A48" s="4" t="s">
        <v>375</v>
      </c>
      <c r="B48" s="85">
        <f t="shared" ref="B48:N48" si="6">AVERAGE(B28:B47)</f>
        <v>7.03603841856193E-16</v>
      </c>
      <c r="C48" s="85">
        <f t="shared" si="6"/>
        <v>-1.0685896612017132E-16</v>
      </c>
      <c r="D48" s="85">
        <f t="shared" si="6"/>
        <v>-9.9920072216264091E-17</v>
      </c>
      <c r="E48" s="85">
        <f t="shared" si="6"/>
        <v>-5.759281940243E-17</v>
      </c>
      <c r="F48" s="85">
        <f t="shared" si="6"/>
        <v>8.3266726846886741E-17</v>
      </c>
      <c r="G48" s="85">
        <f t="shared" si="6"/>
        <v>0</v>
      </c>
      <c r="H48" s="85">
        <f t="shared" si="6"/>
        <v>8.8817841970012528E-17</v>
      </c>
      <c r="I48" s="85">
        <f t="shared" si="6"/>
        <v>-1.6098233857064769E-16</v>
      </c>
      <c r="J48" s="85">
        <f t="shared" si="6"/>
        <v>1.5543122344752191E-16</v>
      </c>
      <c r="K48" s="85">
        <f t="shared" si="6"/>
        <v>-4.3298697960381104E-16</v>
      </c>
      <c r="L48" s="85">
        <f t="shared" si="6"/>
        <v>7.9936057773011273E-16</v>
      </c>
      <c r="M48" s="85">
        <f t="shared" si="6"/>
        <v>6.4392935428259077E-16</v>
      </c>
      <c r="N48" s="85">
        <f t="shared" si="6"/>
        <v>-1.3100631690576848E-15</v>
      </c>
    </row>
    <row r="49" spans="1:29" s="4" customFormat="1">
      <c r="A49" s="4" t="s">
        <v>376</v>
      </c>
      <c r="B49" s="85">
        <f>_xlfn.STDEV.S(B28:B47)</f>
        <v>1</v>
      </c>
      <c r="C49" s="85">
        <f t="shared" ref="C49:N49" si="7">_xlfn.STDEV.S(C28:C47)</f>
        <v>1.0000000000000004</v>
      </c>
      <c r="D49" s="85">
        <f t="shared" si="7"/>
        <v>0.99999999999999989</v>
      </c>
      <c r="E49" s="85">
        <f t="shared" si="7"/>
        <v>0.99999999999999978</v>
      </c>
      <c r="F49" s="85">
        <f t="shared" si="7"/>
        <v>0.99999999999999944</v>
      </c>
      <c r="G49" s="85">
        <f t="shared" si="7"/>
        <v>1</v>
      </c>
      <c r="H49" s="85">
        <f t="shared" si="7"/>
        <v>0.99999999999999989</v>
      </c>
      <c r="I49" s="85">
        <f t="shared" si="7"/>
        <v>1</v>
      </c>
      <c r="J49" s="85">
        <f t="shared" si="7"/>
        <v>0.99999999999999933</v>
      </c>
      <c r="K49" s="85">
        <f t="shared" si="7"/>
        <v>1</v>
      </c>
      <c r="L49" s="85">
        <f t="shared" si="7"/>
        <v>1</v>
      </c>
      <c r="M49" s="85">
        <f t="shared" si="7"/>
        <v>0.99999999999999223</v>
      </c>
      <c r="N49" s="85">
        <f t="shared" si="7"/>
        <v>0.99999999999999978</v>
      </c>
    </row>
    <row r="50" spans="1:29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9">
      <c r="A51" s="106" t="s">
        <v>389</v>
      </c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4"/>
      <c r="P51" s="106" t="s">
        <v>509</v>
      </c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</row>
    <row r="52" spans="1:29">
      <c r="A52" s="4"/>
      <c r="B52" s="57" t="s">
        <v>11</v>
      </c>
      <c r="C52" s="57" t="s">
        <v>373</v>
      </c>
      <c r="D52" s="57" t="s">
        <v>374</v>
      </c>
      <c r="E52" s="57" t="s">
        <v>14</v>
      </c>
      <c r="F52" s="57" t="s">
        <v>15</v>
      </c>
      <c r="G52" s="57" t="s">
        <v>16</v>
      </c>
      <c r="H52" s="57" t="s">
        <v>17</v>
      </c>
      <c r="I52" s="57" t="s">
        <v>18</v>
      </c>
      <c r="J52" s="57" t="s">
        <v>19</v>
      </c>
      <c r="K52" s="57" t="s">
        <v>20</v>
      </c>
      <c r="L52" s="57" t="s">
        <v>21</v>
      </c>
      <c r="M52" s="57" t="s">
        <v>22</v>
      </c>
      <c r="N52" s="57" t="s">
        <v>23</v>
      </c>
      <c r="O52" s="4"/>
      <c r="P52" s="4"/>
      <c r="Q52" s="9" t="s">
        <v>193</v>
      </c>
      <c r="R52" s="9" t="s">
        <v>194</v>
      </c>
      <c r="S52" s="9" t="s">
        <v>195</v>
      </c>
      <c r="T52" s="9" t="s">
        <v>378</v>
      </c>
      <c r="U52" s="9" t="s">
        <v>379</v>
      </c>
      <c r="V52" s="9" t="s">
        <v>380</v>
      </c>
      <c r="W52" s="9" t="s">
        <v>381</v>
      </c>
      <c r="X52" s="9" t="s">
        <v>382</v>
      </c>
      <c r="Y52" s="9" t="s">
        <v>383</v>
      </c>
      <c r="Z52" s="4" t="s">
        <v>384</v>
      </c>
      <c r="AA52" s="4" t="s">
        <v>385</v>
      </c>
      <c r="AB52" s="4" t="s">
        <v>386</v>
      </c>
      <c r="AC52" s="4" t="s">
        <v>387</v>
      </c>
    </row>
    <row r="53" spans="1:29">
      <c r="A53" s="57" t="s">
        <v>11</v>
      </c>
      <c r="B53" s="85">
        <f>CORREL($B$28:$B$47,B28:B47)</f>
        <v>1.0000000000000002</v>
      </c>
      <c r="C53" s="85">
        <f t="shared" ref="C53:N53" si="8">CORREL($B$28:$B$47,C28:C47)</f>
        <v>0.41459964130007521</v>
      </c>
      <c r="D53" s="85">
        <f t="shared" si="8"/>
        <v>0.34832987960628586</v>
      </c>
      <c r="E53" s="85">
        <f t="shared" si="8"/>
        <v>-0.10472789823598273</v>
      </c>
      <c r="F53" s="85">
        <f t="shared" si="8"/>
        <v>0.1137445384194337</v>
      </c>
      <c r="G53" s="85">
        <f t="shared" si="8"/>
        <v>0.55348622511452261</v>
      </c>
      <c r="H53" s="85">
        <f t="shared" si="8"/>
        <v>0.42604753800625045</v>
      </c>
      <c r="I53" s="85">
        <f t="shared" si="8"/>
        <v>0.4012718423198347</v>
      </c>
      <c r="J53" s="85">
        <f t="shared" si="8"/>
        <v>0.22670431910582678</v>
      </c>
      <c r="K53" s="85">
        <f t="shared" si="8"/>
        <v>0.20829005632815187</v>
      </c>
      <c r="L53" s="85">
        <f t="shared" si="8"/>
        <v>0.24288212019075456</v>
      </c>
      <c r="M53" s="85">
        <f t="shared" si="8"/>
        <v>-0.1707401542127415</v>
      </c>
      <c r="N53" s="85">
        <f t="shared" si="8"/>
        <v>-6.21157327455511E-2</v>
      </c>
      <c r="O53" s="4"/>
      <c r="P53" s="4" t="s">
        <v>48</v>
      </c>
      <c r="Q53" s="85">
        <f t="array" ref="Q53:AC72">MMULT(B28:N49,Q34:AC46)</f>
        <v>-2.1089400875696409</v>
      </c>
      <c r="R53" s="85">
        <v>0.81385555764080331</v>
      </c>
      <c r="S53" s="85">
        <v>2.6663800645441094</v>
      </c>
      <c r="T53" s="85">
        <v>0.67951208111637595</v>
      </c>
      <c r="U53" s="85">
        <v>0.63956856145631513</v>
      </c>
      <c r="V53" s="85">
        <v>-0.36580213529508426</v>
      </c>
      <c r="W53" s="85">
        <v>-0.56615445545460896</v>
      </c>
      <c r="X53" s="85">
        <v>-0.4658846082436241</v>
      </c>
      <c r="Y53" s="85">
        <v>-0.16012213281095067</v>
      </c>
      <c r="Z53" s="85">
        <v>0.15990338961455</v>
      </c>
      <c r="AA53" s="85">
        <v>-2.7957250323236135E-2</v>
      </c>
      <c r="AB53" s="85">
        <v>2.8268154086849018E-2</v>
      </c>
      <c r="AC53" s="85">
        <v>2.3906785025791799E-3</v>
      </c>
    </row>
    <row r="54" spans="1:29">
      <c r="A54" s="57" t="s">
        <v>373</v>
      </c>
      <c r="B54" s="85">
        <f>CORREL($C$28:$C$47,B28:B47)</f>
        <v>0.41459964130007521</v>
      </c>
      <c r="C54" s="85">
        <f t="shared" ref="C54:N54" si="9">CORREL($C$28:$C$47,C28:C47)</f>
        <v>1.0000000000000002</v>
      </c>
      <c r="D54" s="85">
        <f t="shared" si="9"/>
        <v>1.5554516263210834E-2</v>
      </c>
      <c r="E54" s="85">
        <f t="shared" si="9"/>
        <v>-7.5844347893421496E-2</v>
      </c>
      <c r="F54" s="85">
        <f t="shared" si="9"/>
        <v>7.0141890183891858E-2</v>
      </c>
      <c r="G54" s="85">
        <f t="shared" si="9"/>
        <v>0.4557044403605498</v>
      </c>
      <c r="H54" s="85">
        <f t="shared" si="9"/>
        <v>0.27756670850334292</v>
      </c>
      <c r="I54" s="85">
        <f t="shared" si="9"/>
        <v>0.12037000398941029</v>
      </c>
      <c r="J54" s="85">
        <f t="shared" si="9"/>
        <v>0.11667838659419251</v>
      </c>
      <c r="K54" s="85">
        <f t="shared" si="9"/>
        <v>0.39978530712158811</v>
      </c>
      <c r="L54" s="85">
        <f t="shared" si="9"/>
        <v>0.26964669711771316</v>
      </c>
      <c r="M54" s="85">
        <f t="shared" si="9"/>
        <v>0.15125075409526026</v>
      </c>
      <c r="N54" s="85">
        <f t="shared" si="9"/>
        <v>0.21193144438907846</v>
      </c>
      <c r="O54" s="4"/>
      <c r="P54" s="4" t="s">
        <v>49</v>
      </c>
      <c r="Q54" s="85">
        <v>0.38332507825358753</v>
      </c>
      <c r="R54" s="85">
        <v>1.686679301759314</v>
      </c>
      <c r="S54" s="85">
        <v>1.9344232401348938</v>
      </c>
      <c r="T54" s="85">
        <v>1.5871956130827996</v>
      </c>
      <c r="U54" s="85">
        <v>-0.66293697888489556</v>
      </c>
      <c r="V54" s="85">
        <v>-0.76040980008541181</v>
      </c>
      <c r="W54" s="85">
        <v>-0.21120401712315165</v>
      </c>
      <c r="X54" s="85">
        <v>0.19841714263432342</v>
      </c>
      <c r="Y54" s="85">
        <v>-9.0598414202032462E-2</v>
      </c>
      <c r="Z54" s="85">
        <v>-0.44278341261284937</v>
      </c>
      <c r="AA54" s="85">
        <v>1.1872882411861907E-4</v>
      </c>
      <c r="AB54" s="85">
        <v>1.3360221495653635E-2</v>
      </c>
      <c r="AC54" s="85">
        <v>-4.1980793139257955E-3</v>
      </c>
    </row>
    <row r="55" spans="1:29">
      <c r="A55" s="57" t="s">
        <v>374</v>
      </c>
      <c r="B55" s="85">
        <f>CORREL($D$28:$D$47,B28:B47)</f>
        <v>0.34832987960628586</v>
      </c>
      <c r="C55" s="85">
        <f t="shared" ref="C55:N55" si="10">CORREL($D$28:$D$47,C28:C47)</f>
        <v>1.5554516263210834E-2</v>
      </c>
      <c r="D55" s="85">
        <f t="shared" si="10"/>
        <v>1</v>
      </c>
      <c r="E55" s="85">
        <f t="shared" si="10"/>
        <v>-0.37107198371991568</v>
      </c>
      <c r="F55" s="85">
        <f t="shared" si="10"/>
        <v>-0.34801240256747934</v>
      </c>
      <c r="G55" s="85">
        <f t="shared" si="10"/>
        <v>0.63421310342557713</v>
      </c>
      <c r="H55" s="85">
        <f t="shared" si="10"/>
        <v>0.66769224833991259</v>
      </c>
      <c r="I55" s="85">
        <f t="shared" si="10"/>
        <v>9.5955583799588157E-2</v>
      </c>
      <c r="J55" s="85">
        <f t="shared" si="10"/>
        <v>-2.5218615182191689E-2</v>
      </c>
      <c r="K55" s="85">
        <f t="shared" si="10"/>
        <v>1.2642191927509757E-2</v>
      </c>
      <c r="L55" s="85">
        <f t="shared" si="10"/>
        <v>1.8699301331100673E-2</v>
      </c>
      <c r="M55" s="85">
        <f t="shared" si="10"/>
        <v>-0.3444898702522744</v>
      </c>
      <c r="N55" s="85">
        <f t="shared" si="10"/>
        <v>-0.27841770555024042</v>
      </c>
      <c r="O55" s="4"/>
      <c r="P55" s="4" t="s">
        <v>50</v>
      </c>
      <c r="Q55" s="85">
        <v>-2.2918207678304903</v>
      </c>
      <c r="R55" s="85">
        <v>0.75518455368364701</v>
      </c>
      <c r="S55" s="85">
        <v>2.4097489201540423</v>
      </c>
      <c r="T55" s="85">
        <v>-1.1034332544620364</v>
      </c>
      <c r="U55" s="85">
        <v>-1.4406193921070185</v>
      </c>
      <c r="V55" s="85">
        <v>0.37904549701541246</v>
      </c>
      <c r="W55" s="85">
        <v>0.74358339375705862</v>
      </c>
      <c r="X55" s="85">
        <v>-1.1283012608970598E-2</v>
      </c>
      <c r="Y55" s="85">
        <v>0.32688239622609128</v>
      </c>
      <c r="Z55" s="85">
        <v>0.30220715258663156</v>
      </c>
      <c r="AA55" s="85">
        <v>0.13740898225900533</v>
      </c>
      <c r="AB55" s="85">
        <v>1.3833371614027937E-2</v>
      </c>
      <c r="AC55" s="85">
        <v>-1.2977880448561685E-3</v>
      </c>
    </row>
    <row r="56" spans="1:29">
      <c r="A56" s="57" t="s">
        <v>14</v>
      </c>
      <c r="B56" s="85">
        <f>CORREL($E$28:$E$47,B28:B47)</f>
        <v>-0.10472789823598273</v>
      </c>
      <c r="C56" s="85">
        <f t="shared" ref="C56:N56" si="11">CORREL($E$28:$E$47,C28:C47)</f>
        <v>-7.5844347893421496E-2</v>
      </c>
      <c r="D56" s="85">
        <f t="shared" si="11"/>
        <v>-0.37107198371991568</v>
      </c>
      <c r="E56" s="85">
        <f t="shared" si="11"/>
        <v>1</v>
      </c>
      <c r="F56" s="85">
        <f t="shared" si="11"/>
        <v>0.87421249778251986</v>
      </c>
      <c r="G56" s="85">
        <f t="shared" si="11"/>
        <v>0.20950478942530987</v>
      </c>
      <c r="H56" s="85">
        <f t="shared" si="11"/>
        <v>-0.14790636095903392</v>
      </c>
      <c r="I56" s="85">
        <f t="shared" si="11"/>
        <v>0.43234639751916304</v>
      </c>
      <c r="J56" s="85">
        <f t="shared" si="11"/>
        <v>0.63269161205071889</v>
      </c>
      <c r="K56" s="85">
        <f t="shared" si="11"/>
        <v>-0.37082236542018882</v>
      </c>
      <c r="L56" s="85">
        <f t="shared" si="11"/>
        <v>0.13717420963325375</v>
      </c>
      <c r="M56" s="85">
        <f t="shared" si="11"/>
        <v>0.90194045370391784</v>
      </c>
      <c r="N56" s="85">
        <f t="shared" si="11"/>
        <v>0.79213603593773096</v>
      </c>
      <c r="O56" s="4"/>
      <c r="P56" s="4" t="s">
        <v>51</v>
      </c>
      <c r="Q56" s="85">
        <v>1.8598466040073061</v>
      </c>
      <c r="R56" s="85">
        <v>1.3700549388439953</v>
      </c>
      <c r="S56" s="85">
        <v>0.10194892328287739</v>
      </c>
      <c r="T56" s="85">
        <v>1.6874180523563727</v>
      </c>
      <c r="U56" s="85">
        <v>1.2606515788337602E-2</v>
      </c>
      <c r="V56" s="85">
        <v>1.3929978754024113E-2</v>
      </c>
      <c r="W56" s="85">
        <v>0.99735174691183115</v>
      </c>
      <c r="X56" s="85">
        <v>-8.8345351773356617E-2</v>
      </c>
      <c r="Y56" s="85">
        <v>1.0226636106947365E-2</v>
      </c>
      <c r="Z56" s="85">
        <v>-5.3818884016442747E-3</v>
      </c>
      <c r="AA56" s="85">
        <v>-2.4635312747465693E-2</v>
      </c>
      <c r="AB56" s="85">
        <v>9.8011459756835242E-2</v>
      </c>
      <c r="AC56" s="85">
        <v>4.908684406657815E-3</v>
      </c>
    </row>
    <row r="57" spans="1:29">
      <c r="A57" s="57" t="s">
        <v>15</v>
      </c>
      <c r="B57" s="85">
        <f>CORREL($F$28:$F$47,B28:B47)</f>
        <v>0.1137445384194337</v>
      </c>
      <c r="C57" s="85">
        <f t="shared" ref="C57:N57" si="12">CORREL($F$28:$F$47,C28:C47)</f>
        <v>7.0141890183891858E-2</v>
      </c>
      <c r="D57" s="85">
        <f t="shared" si="12"/>
        <v>-0.34801240256747934</v>
      </c>
      <c r="E57" s="85">
        <f t="shared" si="12"/>
        <v>0.87421249778251986</v>
      </c>
      <c r="F57" s="85">
        <f t="shared" si="12"/>
        <v>0.99999999999999989</v>
      </c>
      <c r="G57" s="85">
        <f t="shared" si="12"/>
        <v>0.24039040419727728</v>
      </c>
      <c r="H57" s="85">
        <f t="shared" si="12"/>
        <v>-0.17795034942865159</v>
      </c>
      <c r="I57" s="85">
        <f t="shared" si="12"/>
        <v>0.47103022523676991</v>
      </c>
      <c r="J57" s="85">
        <f t="shared" si="12"/>
        <v>0.67920743339808487</v>
      </c>
      <c r="K57" s="85">
        <f t="shared" si="12"/>
        <v>-0.38910440932546742</v>
      </c>
      <c r="L57" s="85">
        <f t="shared" si="12"/>
        <v>8.7349527873384819E-2</v>
      </c>
      <c r="M57" s="85">
        <f t="shared" si="12"/>
        <v>0.72019069152979875</v>
      </c>
      <c r="N57" s="85">
        <f t="shared" si="12"/>
        <v>0.62516569785480602</v>
      </c>
      <c r="O57" s="4"/>
      <c r="P57" s="4" t="s">
        <v>52</v>
      </c>
      <c r="Q57" s="85">
        <v>-0.28735936967612985</v>
      </c>
      <c r="R57" s="85">
        <v>4.053699934368489E-2</v>
      </c>
      <c r="S57" s="85">
        <v>0.74624426955743961</v>
      </c>
      <c r="T57" s="85">
        <v>-1.330427057835758</v>
      </c>
      <c r="U57" s="85">
        <v>1.0789090034339639</v>
      </c>
      <c r="V57" s="85">
        <v>-0.62119805498734892</v>
      </c>
      <c r="W57" s="85">
        <v>0.54035873184283245</v>
      </c>
      <c r="X57" s="85">
        <v>-0.17812047934254785</v>
      </c>
      <c r="Y57" s="85">
        <v>0.22735648075391723</v>
      </c>
      <c r="Z57" s="85">
        <v>0.13898487045895086</v>
      </c>
      <c r="AA57" s="85">
        <v>-8.3552815695501145E-2</v>
      </c>
      <c r="AB57" s="85">
        <v>1.2531158029494061E-2</v>
      </c>
      <c r="AC57" s="85">
        <v>-9.9186581493684867E-4</v>
      </c>
    </row>
    <row r="58" spans="1:29">
      <c r="A58" s="57" t="s">
        <v>16</v>
      </c>
      <c r="B58" s="85">
        <f>CORREL($G$28:$G$47,B28:B47)</f>
        <v>0.55348622511452261</v>
      </c>
      <c r="C58" s="85">
        <f t="shared" ref="C58:N58" si="13">CORREL($G$28:$G$47,C28:C47)</f>
        <v>0.4557044403605498</v>
      </c>
      <c r="D58" s="85">
        <f t="shared" si="13"/>
        <v>0.63421310342557713</v>
      </c>
      <c r="E58" s="85">
        <f t="shared" si="13"/>
        <v>0.20950478942530987</v>
      </c>
      <c r="F58" s="85">
        <f t="shared" si="13"/>
        <v>0.24039040419727728</v>
      </c>
      <c r="G58" s="85">
        <f t="shared" si="13"/>
        <v>1.0000000000000002</v>
      </c>
      <c r="H58" s="85">
        <f t="shared" si="13"/>
        <v>0.62256078510621238</v>
      </c>
      <c r="I58" s="85">
        <f t="shared" si="13"/>
        <v>0.45264348333366539</v>
      </c>
      <c r="J58" s="85">
        <f t="shared" si="13"/>
        <v>0.42646374816388344</v>
      </c>
      <c r="K58" s="85">
        <f t="shared" si="13"/>
        <v>-2.1616153994174034E-2</v>
      </c>
      <c r="L58" s="85">
        <f t="shared" si="13"/>
        <v>0.248409700385266</v>
      </c>
      <c r="M58" s="85">
        <f t="shared" si="13"/>
        <v>0.25556955079691296</v>
      </c>
      <c r="N58" s="85">
        <f t="shared" si="13"/>
        <v>0.29191287199794724</v>
      </c>
      <c r="O58" s="4"/>
      <c r="P58" s="4" t="s">
        <v>53</v>
      </c>
      <c r="Q58" s="85">
        <v>2.7074551200332699</v>
      </c>
      <c r="R58" s="85">
        <v>0.84744919325065626</v>
      </c>
      <c r="S58" s="85">
        <v>1.3563561733852758</v>
      </c>
      <c r="T58" s="85">
        <v>-0.91681898298722186</v>
      </c>
      <c r="U58" s="85">
        <v>1.1050261217712172</v>
      </c>
      <c r="V58" s="85">
        <v>0.85047584239064677</v>
      </c>
      <c r="W58" s="85">
        <v>-0.53021040173102241</v>
      </c>
      <c r="X58" s="85">
        <v>-8.0607489356046391E-2</v>
      </c>
      <c r="Y58" s="85">
        <v>0.66513269961639587</v>
      </c>
      <c r="Z58" s="85">
        <v>-0.27179750307075407</v>
      </c>
      <c r="AA58" s="85">
        <v>-2.2286971655767873E-2</v>
      </c>
      <c r="AB58" s="85">
        <v>-9.5723371644569982E-2</v>
      </c>
      <c r="AC58" s="85">
        <v>2.2944851121416976E-3</v>
      </c>
    </row>
    <row r="59" spans="1:29">
      <c r="A59" s="57" t="s">
        <v>17</v>
      </c>
      <c r="B59" s="85">
        <f>CORREL($H$28:$H$47,B28:B47)</f>
        <v>0.42604753800625045</v>
      </c>
      <c r="C59" s="85">
        <f t="shared" ref="C59:N59" si="14">CORREL($H$28:$H$47,C28:C47)</f>
        <v>0.27756670850334292</v>
      </c>
      <c r="D59" s="85">
        <f t="shared" si="14"/>
        <v>0.66769224833991259</v>
      </c>
      <c r="E59" s="85">
        <f t="shared" si="14"/>
        <v>-0.14790636095903392</v>
      </c>
      <c r="F59" s="85">
        <f t="shared" si="14"/>
        <v>-0.17795034942865159</v>
      </c>
      <c r="G59" s="85">
        <f t="shared" si="14"/>
        <v>0.62256078510621238</v>
      </c>
      <c r="H59" s="85">
        <f t="shared" si="14"/>
        <v>1.0000000000000002</v>
      </c>
      <c r="I59" s="85">
        <f t="shared" si="14"/>
        <v>-2.112909565090829E-2</v>
      </c>
      <c r="J59" s="85">
        <f t="shared" si="14"/>
        <v>0.10752416988791115</v>
      </c>
      <c r="K59" s="85">
        <f t="shared" si="14"/>
        <v>0.20295433792511605</v>
      </c>
      <c r="L59" s="85">
        <f t="shared" si="14"/>
        <v>4.5147160132187378E-2</v>
      </c>
      <c r="M59" s="85">
        <f t="shared" si="14"/>
        <v>-5.2949107915995365E-2</v>
      </c>
      <c r="N59" s="85">
        <f t="shared" si="14"/>
        <v>-2.8213437972145271E-2</v>
      </c>
      <c r="O59" s="4"/>
      <c r="P59" s="4" t="s">
        <v>54</v>
      </c>
      <c r="Q59" s="85">
        <v>3.4546833884238568</v>
      </c>
      <c r="R59" s="85">
        <v>0.82415065611075933</v>
      </c>
      <c r="S59" s="85">
        <v>-7.231492719949284E-2</v>
      </c>
      <c r="T59" s="85">
        <v>-1.5948051736743213E-2</v>
      </c>
      <c r="U59" s="85">
        <v>0.95813139887963106</v>
      </c>
      <c r="V59" s="85">
        <v>7.7192522029733091E-2</v>
      </c>
      <c r="W59" s="85">
        <v>0.38765349538139149</v>
      </c>
      <c r="X59" s="85">
        <v>-0.78291802765360974</v>
      </c>
      <c r="Y59" s="85">
        <v>-0.4626530569299262</v>
      </c>
      <c r="Z59" s="85">
        <v>0.11030346742986477</v>
      </c>
      <c r="AA59" s="85">
        <v>5.8284699394282324E-2</v>
      </c>
      <c r="AB59" s="85">
        <v>-4.5833898269113632E-2</v>
      </c>
      <c r="AC59" s="85">
        <v>-1.5017451836937257E-3</v>
      </c>
    </row>
    <row r="60" spans="1:29">
      <c r="A60" s="57" t="s">
        <v>18</v>
      </c>
      <c r="B60" s="85">
        <f>CORREL($I$28:$I$47,B28:B47)</f>
        <v>0.4012718423198347</v>
      </c>
      <c r="C60" s="85">
        <f t="shared" ref="C60:N60" si="15">CORREL($I$28:$I$47,C28:C47)</f>
        <v>0.12037000398941029</v>
      </c>
      <c r="D60" s="85">
        <f t="shared" si="15"/>
        <v>9.5955583799588157E-2</v>
      </c>
      <c r="E60" s="85">
        <f t="shared" si="15"/>
        <v>0.43234639751916304</v>
      </c>
      <c r="F60" s="85">
        <f t="shared" si="15"/>
        <v>0.47103022523676991</v>
      </c>
      <c r="G60" s="85">
        <f t="shared" si="15"/>
        <v>0.45264348333366539</v>
      </c>
      <c r="H60" s="85">
        <f t="shared" si="15"/>
        <v>-2.112909565090829E-2</v>
      </c>
      <c r="I60" s="85">
        <f t="shared" si="15"/>
        <v>1.0000000000000002</v>
      </c>
      <c r="J60" s="85">
        <f t="shared" si="15"/>
        <v>0.43064969815678356</v>
      </c>
      <c r="K60" s="85">
        <f t="shared" si="15"/>
        <v>3.8862833841291952E-2</v>
      </c>
      <c r="L60" s="85">
        <f t="shared" si="15"/>
        <v>0.74805419147716334</v>
      </c>
      <c r="M60" s="85">
        <f t="shared" si="15"/>
        <v>0.42880411116319145</v>
      </c>
      <c r="N60" s="85">
        <f t="shared" si="15"/>
        <v>0.5974804319057555</v>
      </c>
      <c r="O60" s="4"/>
      <c r="P60" s="4" t="s">
        <v>55</v>
      </c>
      <c r="Q60" s="85">
        <v>2.2459951388570931</v>
      </c>
      <c r="R60" s="85">
        <v>-0.83566963997404609</v>
      </c>
      <c r="S60" s="85">
        <v>1.0389382092763015</v>
      </c>
      <c r="T60" s="85">
        <v>0.63768738758704446</v>
      </c>
      <c r="U60" s="85">
        <v>-1.6383000039112492</v>
      </c>
      <c r="V60" s="85">
        <v>6.1706532279108529E-2</v>
      </c>
      <c r="W60" s="85">
        <v>-1.1821181828546072</v>
      </c>
      <c r="X60" s="85">
        <v>5.0205785012978003E-2</v>
      </c>
      <c r="Y60" s="85">
        <v>-5.3771080509916386E-2</v>
      </c>
      <c r="Z60" s="85">
        <v>0.29327426480109325</v>
      </c>
      <c r="AA60" s="85">
        <v>-5.6175030101123069E-2</v>
      </c>
      <c r="AB60" s="85">
        <v>-1.7815261795542436E-2</v>
      </c>
      <c r="AC60" s="85">
        <v>-1.3739773775236497E-3</v>
      </c>
    </row>
    <row r="61" spans="1:29">
      <c r="A61" s="57" t="s">
        <v>19</v>
      </c>
      <c r="B61" s="85">
        <f>CORREL($J$28:$J$47,B28:B47)</f>
        <v>0.22670431910582678</v>
      </c>
      <c r="C61" s="85">
        <f t="shared" ref="C61:N61" si="16">CORREL($J$28:$J$47,C28:C47)</f>
        <v>0.11667838659419251</v>
      </c>
      <c r="D61" s="85">
        <f t="shared" si="16"/>
        <v>-2.5218615182191689E-2</v>
      </c>
      <c r="E61" s="85">
        <f t="shared" si="16"/>
        <v>0.63269161205071889</v>
      </c>
      <c r="F61" s="85">
        <f t="shared" si="16"/>
        <v>0.67920743339808487</v>
      </c>
      <c r="G61" s="85">
        <f t="shared" si="16"/>
        <v>0.42646374816388344</v>
      </c>
      <c r="H61" s="85">
        <f t="shared" si="16"/>
        <v>0.10752416988791115</v>
      </c>
      <c r="I61" s="85">
        <f t="shared" si="16"/>
        <v>0.43064969815678356</v>
      </c>
      <c r="J61" s="85">
        <f t="shared" si="16"/>
        <v>0.99999999999999989</v>
      </c>
      <c r="K61" s="85">
        <f t="shared" si="16"/>
        <v>-0.42089014252335372</v>
      </c>
      <c r="L61" s="85">
        <f t="shared" si="16"/>
        <v>5.4702714350529655E-3</v>
      </c>
      <c r="M61" s="85">
        <f t="shared" si="16"/>
        <v>0.466056672574508</v>
      </c>
      <c r="N61" s="85">
        <f t="shared" si="16"/>
        <v>0.38953239896770808</v>
      </c>
      <c r="O61" s="4"/>
      <c r="P61" s="4" t="s">
        <v>56</v>
      </c>
      <c r="Q61" s="85">
        <v>0.97801429651782534</v>
      </c>
      <c r="R61" s="85">
        <v>3.0053683099479267</v>
      </c>
      <c r="S61" s="85">
        <v>-0.76864340064901648</v>
      </c>
      <c r="T61" s="85">
        <v>-0.14742023069560056</v>
      </c>
      <c r="U61" s="85">
        <v>0.32551590172840172</v>
      </c>
      <c r="V61" s="85">
        <v>-0.31653616603732926</v>
      </c>
      <c r="W61" s="85">
        <v>0.15753325473759194</v>
      </c>
      <c r="X61" s="85">
        <v>0.79075308229040464</v>
      </c>
      <c r="Y61" s="85">
        <v>-0.54685284886459096</v>
      </c>
      <c r="Z61" s="85">
        <v>0.16449875354825844</v>
      </c>
      <c r="AA61" s="85">
        <v>2.7905917292717523E-2</v>
      </c>
      <c r="AB61" s="85">
        <v>-0.10090310999825283</v>
      </c>
      <c r="AC61" s="85">
        <v>9.39103491363176E-4</v>
      </c>
    </row>
    <row r="62" spans="1:29">
      <c r="A62" s="57" t="s">
        <v>20</v>
      </c>
      <c r="B62" s="85">
        <f>CORREL($K$28:$K$47,B28:B47)</f>
        <v>0.20829005632815187</v>
      </c>
      <c r="C62" s="85">
        <f t="shared" ref="C62:N62" si="17">CORREL($K$28:$K$47,C28:C47)</f>
        <v>0.39978530712158811</v>
      </c>
      <c r="D62" s="85">
        <f t="shared" si="17"/>
        <v>1.2642191927509757E-2</v>
      </c>
      <c r="E62" s="85">
        <f t="shared" si="17"/>
        <v>-0.37082236542018882</v>
      </c>
      <c r="F62" s="85">
        <f t="shared" si="17"/>
        <v>-0.38910440932546742</v>
      </c>
      <c r="G62" s="85">
        <f t="shared" si="17"/>
        <v>-2.1616153994174034E-2</v>
      </c>
      <c r="H62" s="85">
        <f t="shared" si="17"/>
        <v>0.20295433792511605</v>
      </c>
      <c r="I62" s="85">
        <f t="shared" si="17"/>
        <v>3.8862833841291952E-2</v>
      </c>
      <c r="J62" s="85">
        <f t="shared" si="17"/>
        <v>-0.42089014252335372</v>
      </c>
      <c r="K62" s="85">
        <f t="shared" si="17"/>
        <v>1.0000000000000002</v>
      </c>
      <c r="L62" s="85">
        <f t="shared" si="17"/>
        <v>0.65355292816485211</v>
      </c>
      <c r="M62" s="85">
        <f t="shared" si="17"/>
        <v>-1.8392702928175523E-2</v>
      </c>
      <c r="N62" s="85">
        <f t="shared" si="17"/>
        <v>0.19638830199908655</v>
      </c>
      <c r="O62" s="4"/>
      <c r="P62" s="4" t="s">
        <v>57</v>
      </c>
      <c r="Q62" s="85">
        <v>-1.8789102148008987</v>
      </c>
      <c r="R62" s="85">
        <v>1.0547995952870315</v>
      </c>
      <c r="S62" s="85">
        <v>-0.19964030793977586</v>
      </c>
      <c r="T62" s="85">
        <v>-0.6376202975056473</v>
      </c>
      <c r="U62" s="85">
        <v>0.85364358958596509</v>
      </c>
      <c r="V62" s="85">
        <v>-0.42543418188347332</v>
      </c>
      <c r="W62" s="85">
        <v>-3.3824228501347205E-2</v>
      </c>
      <c r="X62" s="85">
        <v>0.791979941886365</v>
      </c>
      <c r="Y62" s="85">
        <v>0.24750677349120842</v>
      </c>
      <c r="Z62" s="85">
        <v>0.10290363010281287</v>
      </c>
      <c r="AA62" s="85">
        <v>-8.221270771420397E-2</v>
      </c>
      <c r="AB62" s="85">
        <v>5.1043091053298933E-2</v>
      </c>
      <c r="AC62" s="85">
        <v>-4.2876187848261971E-5</v>
      </c>
    </row>
    <row r="63" spans="1:29">
      <c r="A63" s="57" t="s">
        <v>21</v>
      </c>
      <c r="B63" s="85">
        <f>CORREL($L$28:$L$47,B28:B47)</f>
        <v>0.24288212019075456</v>
      </c>
      <c r="C63" s="85">
        <f t="shared" ref="C63:N63" si="18">CORREL($L$28:$L$47,C28:C47)</f>
        <v>0.26964669711771316</v>
      </c>
      <c r="D63" s="85">
        <f t="shared" si="18"/>
        <v>1.8699301331100673E-2</v>
      </c>
      <c r="E63" s="85">
        <f t="shared" si="18"/>
        <v>0.13717420963325375</v>
      </c>
      <c r="F63" s="85">
        <f t="shared" si="18"/>
        <v>8.7349527873384819E-2</v>
      </c>
      <c r="G63" s="85">
        <f t="shared" si="18"/>
        <v>0.248409700385266</v>
      </c>
      <c r="H63" s="85">
        <f t="shared" si="18"/>
        <v>4.5147160132187378E-2</v>
      </c>
      <c r="I63" s="85">
        <f t="shared" si="18"/>
        <v>0.74805419147716334</v>
      </c>
      <c r="J63" s="85">
        <f t="shared" si="18"/>
        <v>5.4702714350529655E-3</v>
      </c>
      <c r="K63" s="85">
        <f t="shared" si="18"/>
        <v>0.65355292816485211</v>
      </c>
      <c r="L63" s="85">
        <f t="shared" si="18"/>
        <v>1.0000000000000002</v>
      </c>
      <c r="M63" s="85">
        <f t="shared" si="18"/>
        <v>0.38889739071473423</v>
      </c>
      <c r="N63" s="85">
        <f t="shared" si="18"/>
        <v>0.64589857066519685</v>
      </c>
      <c r="O63" s="4"/>
      <c r="P63" s="4" t="s">
        <v>58</v>
      </c>
      <c r="Q63" s="85">
        <v>-3.1552461637620994</v>
      </c>
      <c r="R63" s="85">
        <v>-0.67595510277063131</v>
      </c>
      <c r="S63" s="85">
        <v>-0.30990415310942587</v>
      </c>
      <c r="T63" s="85">
        <v>-7.0511821960309126E-2</v>
      </c>
      <c r="U63" s="85">
        <v>-0.68328942063727804</v>
      </c>
      <c r="V63" s="85">
        <v>-1.3855059160039795E-2</v>
      </c>
      <c r="W63" s="85">
        <v>-0.14085326596766942</v>
      </c>
      <c r="X63" s="85">
        <v>-0.23701950569979655</v>
      </c>
      <c r="Y63" s="85">
        <v>0.15040744674623857</v>
      </c>
      <c r="Z63" s="85">
        <v>-0.37294828935046559</v>
      </c>
      <c r="AA63" s="85">
        <v>5.1069973432925075E-3</v>
      </c>
      <c r="AB63" s="85">
        <v>-2.5042895442436763E-2</v>
      </c>
      <c r="AC63" s="85">
        <v>1.4683228592886621E-3</v>
      </c>
    </row>
    <row r="64" spans="1:29">
      <c r="A64" s="57" t="s">
        <v>22</v>
      </c>
      <c r="B64" s="85">
        <f>CORREL($M$28:$M$47,B28:B47)</f>
        <v>-0.1707401542127415</v>
      </c>
      <c r="C64" s="85">
        <f t="shared" ref="C64:N64" si="19">CORREL($M$28:$M$47,C28:C47)</f>
        <v>0.15125075409526026</v>
      </c>
      <c r="D64" s="85">
        <f t="shared" si="19"/>
        <v>-0.3444898702522744</v>
      </c>
      <c r="E64" s="85">
        <f t="shared" si="19"/>
        <v>0.90194045370391784</v>
      </c>
      <c r="F64" s="85">
        <f t="shared" si="19"/>
        <v>0.72019069152979875</v>
      </c>
      <c r="G64" s="85">
        <f t="shared" si="19"/>
        <v>0.25556955079691296</v>
      </c>
      <c r="H64" s="85">
        <f t="shared" si="19"/>
        <v>-5.2949107915995365E-2</v>
      </c>
      <c r="I64" s="85">
        <f t="shared" si="19"/>
        <v>0.42880411116319145</v>
      </c>
      <c r="J64" s="85">
        <f t="shared" si="19"/>
        <v>0.466056672574508</v>
      </c>
      <c r="K64" s="85">
        <f t="shared" si="19"/>
        <v>-1.8392702928175523E-2</v>
      </c>
      <c r="L64" s="85">
        <f t="shared" si="19"/>
        <v>0.38889739071473423</v>
      </c>
      <c r="M64" s="85">
        <f t="shared" si="19"/>
        <v>0.99999999999999989</v>
      </c>
      <c r="N64" s="85">
        <f t="shared" si="19"/>
        <v>0.95449693785884804</v>
      </c>
      <c r="O64" s="4"/>
      <c r="P64" s="4" t="s">
        <v>59</v>
      </c>
      <c r="Q64" s="85">
        <v>-2.4995075415599612</v>
      </c>
      <c r="R64" s="85">
        <v>-2.5422614538792505</v>
      </c>
      <c r="S64" s="85">
        <v>-0.4386565583062001</v>
      </c>
      <c r="T64" s="85">
        <v>0.98512658488918614</v>
      </c>
      <c r="U64" s="85">
        <v>7.2532775278542155E-2</v>
      </c>
      <c r="V64" s="85">
        <v>-3.7435736052641229E-2</v>
      </c>
      <c r="W64" s="85">
        <v>0.96268065500706568</v>
      </c>
      <c r="X64" s="85">
        <v>-0.12933894763360226</v>
      </c>
      <c r="Y64" s="85">
        <v>3.0142249603084953E-3</v>
      </c>
      <c r="Z64" s="85">
        <v>7.3753930086431524E-2</v>
      </c>
      <c r="AA64" s="85">
        <v>-9.1003162732204046E-2</v>
      </c>
      <c r="AB64" s="85">
        <v>-0.12097876100273419</v>
      </c>
      <c r="AC64" s="85">
        <v>-2.5627907777450165E-3</v>
      </c>
    </row>
    <row r="65" spans="1:29">
      <c r="A65" s="57" t="s">
        <v>23</v>
      </c>
      <c r="B65" s="85">
        <f>CORREL($N$28:$N$47,B28:B47)</f>
        <v>-6.21157327455511E-2</v>
      </c>
      <c r="C65" s="85">
        <f t="shared" ref="C65:N65" si="20">CORREL($N$28:$N$47,C28:C47)</f>
        <v>0.21193144438907846</v>
      </c>
      <c r="D65" s="85">
        <f t="shared" si="20"/>
        <v>-0.27841770555024042</v>
      </c>
      <c r="E65" s="85">
        <f t="shared" si="20"/>
        <v>0.79213603593773096</v>
      </c>
      <c r="F65" s="85">
        <f t="shared" si="20"/>
        <v>0.62516569785480602</v>
      </c>
      <c r="G65" s="85">
        <f t="shared" si="20"/>
        <v>0.29191287199794724</v>
      </c>
      <c r="H65" s="85">
        <f t="shared" si="20"/>
        <v>-2.8213437972145271E-2</v>
      </c>
      <c r="I65" s="85">
        <f t="shared" si="20"/>
        <v>0.5974804319057555</v>
      </c>
      <c r="J65" s="85">
        <f t="shared" si="20"/>
        <v>0.38953239896770808</v>
      </c>
      <c r="K65" s="85">
        <f t="shared" si="20"/>
        <v>0.19638830199908655</v>
      </c>
      <c r="L65" s="85">
        <f t="shared" si="20"/>
        <v>0.64589857066519685</v>
      </c>
      <c r="M65" s="85">
        <f t="shared" si="20"/>
        <v>0.95449693785884804</v>
      </c>
      <c r="N65" s="85">
        <f t="shared" si="20"/>
        <v>1.0000000000000002</v>
      </c>
      <c r="O65" s="4"/>
      <c r="P65" s="4" t="s">
        <v>60</v>
      </c>
      <c r="Q65" s="85">
        <v>-2.554911080338806</v>
      </c>
      <c r="R65" s="85">
        <v>2.6572898245446082</v>
      </c>
      <c r="S65" s="85">
        <v>-1.375980215766754</v>
      </c>
      <c r="T65" s="85">
        <v>-1.3069757435530471</v>
      </c>
      <c r="U65" s="85">
        <v>2.2379948779188474E-2</v>
      </c>
      <c r="V65" s="85">
        <v>1.1917872175644624</v>
      </c>
      <c r="W65" s="85">
        <v>-0.31748891682558955</v>
      </c>
      <c r="X65" s="85">
        <v>-0.24906555227519475</v>
      </c>
      <c r="Y65" s="85">
        <v>-0.50158162403201378</v>
      </c>
      <c r="Z65" s="85">
        <v>-0.20121558874619289</v>
      </c>
      <c r="AA65" s="85">
        <v>-3.1389902520526869E-2</v>
      </c>
      <c r="AB65" s="85">
        <v>5.8463407928755762E-2</v>
      </c>
      <c r="AC65" s="85">
        <v>-2.2295932924025763E-3</v>
      </c>
    </row>
    <row r="66" spans="1:29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 t="s">
        <v>61</v>
      </c>
      <c r="Q66" s="85">
        <v>-1.9249441153624658</v>
      </c>
      <c r="R66" s="85">
        <v>-2.0721273575503578</v>
      </c>
      <c r="S66" s="85">
        <v>-0.13846016477201883</v>
      </c>
      <c r="T66" s="85">
        <v>0.45468180702522248</v>
      </c>
      <c r="U66" s="85">
        <v>-0.27518616165945353</v>
      </c>
      <c r="V66" s="85">
        <v>0.41256424279506232</v>
      </c>
      <c r="W66" s="85">
        <v>0.13484712140627025</v>
      </c>
      <c r="X66" s="85">
        <v>0.22595960928397724</v>
      </c>
      <c r="Y66" s="85">
        <v>-0.33449709789111221</v>
      </c>
      <c r="Z66" s="85">
        <v>-0.27938333089959821</v>
      </c>
      <c r="AA66" s="85">
        <v>5.115782940025454E-2</v>
      </c>
      <c r="AB66" s="85">
        <v>-3.3388276778085493E-2</v>
      </c>
      <c r="AC66" s="85">
        <v>3.5512338130889165E-3</v>
      </c>
    </row>
    <row r="67" spans="1:29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 t="s">
        <v>62</v>
      </c>
      <c r="Q67" s="85">
        <v>0.41471103669906423</v>
      </c>
      <c r="R67" s="85">
        <v>-2.5510512316286267</v>
      </c>
      <c r="S67" s="85">
        <v>-0.47275258820614657</v>
      </c>
      <c r="T67" s="85">
        <v>-1.3329056076788535</v>
      </c>
      <c r="U67" s="85">
        <v>0.70719811568091429</v>
      </c>
      <c r="V67" s="85">
        <v>-1.6411266687318948</v>
      </c>
      <c r="W67" s="85">
        <v>-0.46033322446980318</v>
      </c>
      <c r="X67" s="85">
        <v>-2.2646791287286937E-2</v>
      </c>
      <c r="Y67" s="85">
        <v>-0.16746987951854439</v>
      </c>
      <c r="Z67" s="85">
        <v>-0.12025975505920533</v>
      </c>
      <c r="AA67" s="85">
        <v>9.8121767904546242E-2</v>
      </c>
      <c r="AB67" s="85">
        <v>2.428840687999087E-2</v>
      </c>
      <c r="AC67" s="85">
        <v>6.6579815248884316E-4</v>
      </c>
    </row>
    <row r="68" spans="1:29">
      <c r="O68" s="4"/>
      <c r="P68" s="4" t="s">
        <v>63</v>
      </c>
      <c r="Q68" s="85">
        <v>0.77804843830739334</v>
      </c>
      <c r="R68" s="85">
        <v>2.1922173359689792</v>
      </c>
      <c r="S68" s="85">
        <v>-3.5647656934057195</v>
      </c>
      <c r="T68" s="85">
        <v>8.0704904917048084E-2</v>
      </c>
      <c r="U68" s="85">
        <v>-1.597176615296783</v>
      </c>
      <c r="V68" s="85">
        <v>-0.77177162405019195</v>
      </c>
      <c r="W68" s="85">
        <v>-1.6461379448670006E-2</v>
      </c>
      <c r="X68" s="85">
        <v>-0.38317272490212601</v>
      </c>
      <c r="Y68" s="85">
        <v>0.56626328405146764</v>
      </c>
      <c r="Z68" s="85">
        <v>5.1820808943133234E-3</v>
      </c>
      <c r="AA68" s="85">
        <v>6.3206561469792907E-3</v>
      </c>
      <c r="AB68" s="85">
        <v>-1.3033609794060218E-2</v>
      </c>
      <c r="AC68" s="85">
        <v>3.0330052578461664E-4</v>
      </c>
    </row>
    <row r="69" spans="1:29">
      <c r="A69" s="57"/>
      <c r="B69" s="57"/>
      <c r="O69" s="4"/>
      <c r="P69" s="4" t="s">
        <v>64</v>
      </c>
      <c r="Q69" s="85">
        <v>3.7027690276183094</v>
      </c>
      <c r="R69" s="85">
        <v>-2.7050512408939649</v>
      </c>
      <c r="S69" s="85">
        <v>0.24893580405615506</v>
      </c>
      <c r="T69" s="85">
        <v>-1.5193340790006844</v>
      </c>
      <c r="U69" s="85">
        <v>-1.4940194734683589</v>
      </c>
      <c r="V69" s="85">
        <v>0.33727573939061384</v>
      </c>
      <c r="W69" s="85">
        <v>0.4498525123806868</v>
      </c>
      <c r="X69" s="85">
        <v>0.15712874849843861</v>
      </c>
      <c r="Y69" s="85">
        <v>-0.29761863418123763</v>
      </c>
      <c r="Z69" s="85">
        <v>-9.8683321244933064E-2</v>
      </c>
      <c r="AA69" s="85">
        <v>-8.3498725620541336E-2</v>
      </c>
      <c r="AB69" s="85">
        <v>5.575687998171347E-2</v>
      </c>
      <c r="AC69" s="85">
        <v>3.1999081435385435E-4</v>
      </c>
    </row>
    <row r="70" spans="1:29">
      <c r="A70" s="57"/>
      <c r="O70" s="4"/>
      <c r="P70" s="4" t="s">
        <v>65</v>
      </c>
      <c r="Q70" s="85">
        <v>-0.80902538172527994</v>
      </c>
      <c r="R70" s="85">
        <v>-1.015294143554299</v>
      </c>
      <c r="S70" s="85">
        <v>-0.99080160456649946</v>
      </c>
      <c r="T70" s="85">
        <v>0.46047517933163401</v>
      </c>
      <c r="U70" s="85">
        <v>-0.27939274021400162</v>
      </c>
      <c r="V70" s="85">
        <v>0.59403226245430052</v>
      </c>
      <c r="W70" s="85">
        <v>-0.60934044389352549</v>
      </c>
      <c r="X70" s="85">
        <v>0.21664800300905521</v>
      </c>
      <c r="Y70" s="85">
        <v>1.2128122437424498E-2</v>
      </c>
      <c r="Z70" s="85">
        <v>0.33419722783837907</v>
      </c>
      <c r="AA70" s="85">
        <v>3.3987357691478426E-2</v>
      </c>
      <c r="AB70" s="85">
        <v>-1.4388284392029257E-2</v>
      </c>
      <c r="AC70" s="85">
        <v>2.1688493034371925E-3</v>
      </c>
    </row>
    <row r="71" spans="1:29">
      <c r="A71" s="57"/>
      <c r="B71" s="57"/>
      <c r="C71" s="57"/>
      <c r="O71" s="4"/>
      <c r="P71" s="4" t="s">
        <v>66</v>
      </c>
      <c r="Q71" s="85">
        <v>1.9899520230587797</v>
      </c>
      <c r="R71" s="85">
        <v>-1.322496309767029</v>
      </c>
      <c r="S71" s="85">
        <v>-0.58115605139251558</v>
      </c>
      <c r="T71" s="85">
        <v>0.97077136082632765</v>
      </c>
      <c r="U71" s="85">
        <v>1.1236436459461221</v>
      </c>
      <c r="V71" s="85">
        <v>0.74850197941452445</v>
      </c>
      <c r="W71" s="85">
        <v>0.19148460413426852</v>
      </c>
      <c r="X71" s="85">
        <v>0.46096750457218527</v>
      </c>
      <c r="Y71" s="85">
        <v>0.37273458922929364</v>
      </c>
      <c r="Z71" s="85">
        <v>-9.2475090766951734E-2</v>
      </c>
      <c r="AA71" s="85">
        <v>8.8090372303035583E-2</v>
      </c>
      <c r="AB71" s="85">
        <v>5.2538221716315031E-2</v>
      </c>
      <c r="AC71" s="85">
        <v>-3.367346308882746E-3</v>
      </c>
    </row>
    <row r="72" spans="1:29">
      <c r="A72" s="57"/>
      <c r="B72" s="57"/>
      <c r="C72" s="57"/>
      <c r="D72" s="57"/>
      <c r="E72" s="57"/>
      <c r="O72" s="4"/>
      <c r="P72" s="4" t="s">
        <v>67</v>
      </c>
      <c r="Q72" s="85">
        <v>-1.0041354291507141</v>
      </c>
      <c r="R72" s="85">
        <v>-1.5276797863631968</v>
      </c>
      <c r="S72" s="85">
        <v>-1.5898999390775355</v>
      </c>
      <c r="T72" s="85">
        <v>0.83782215628388612</v>
      </c>
      <c r="U72" s="85">
        <v>1.1717652078504504</v>
      </c>
      <c r="V72" s="85">
        <v>0.28705761219551951</v>
      </c>
      <c r="W72" s="85">
        <v>-0.49735699928900506</v>
      </c>
      <c r="X72" s="85">
        <v>-0.26365732641156286</v>
      </c>
      <c r="Y72" s="85">
        <v>3.3512115321029004E-2</v>
      </c>
      <c r="Z72" s="85">
        <v>0.19971941279130953</v>
      </c>
      <c r="AA72" s="85">
        <v>-3.7914294491372957E-3</v>
      </c>
      <c r="AB72" s="85">
        <v>5.9013096573903273E-2</v>
      </c>
      <c r="AC72" s="85">
        <v>-1.4443846794005566E-3</v>
      </c>
    </row>
    <row r="73" spans="1:29">
      <c r="A73" s="57"/>
      <c r="B73" s="57"/>
      <c r="C73" s="57"/>
      <c r="D73" s="57"/>
      <c r="E73" s="57"/>
      <c r="O73" s="4"/>
      <c r="P73" s="11" t="s">
        <v>388</v>
      </c>
      <c r="Q73" s="85">
        <f>_xlfn.VAR.S(Q53:Q72)</f>
        <v>4.6700912028048522</v>
      </c>
      <c r="R73" s="85">
        <f t="shared" ref="R73:AC73" si="21">_xlfn.VAR.S(R53:R72)</f>
        <v>3.1692810392746749</v>
      </c>
      <c r="S73" s="85">
        <f t="shared" si="21"/>
        <v>2.0958903336135224</v>
      </c>
      <c r="T73" s="85">
        <f t="shared" si="21"/>
        <v>1.0173647816033</v>
      </c>
      <c r="U73" s="85">
        <f t="shared" si="21"/>
        <v>0.96269230740305289</v>
      </c>
      <c r="V73" s="85">
        <f t="shared" si="21"/>
        <v>0.43402262607917047</v>
      </c>
      <c r="W73" s="85">
        <f t="shared" si="21"/>
        <v>0.32605065981073394</v>
      </c>
      <c r="X73" s="85">
        <f t="shared" si="21"/>
        <v>0.1503969936870769</v>
      </c>
      <c r="Y73" s="85">
        <f t="shared" si="21"/>
        <v>0.11451186419431991</v>
      </c>
      <c r="Z73" s="85">
        <f t="shared" si="21"/>
        <v>5.2075181941017262E-2</v>
      </c>
      <c r="AA73" s="85">
        <f t="shared" si="21"/>
        <v>4.1745971410546085E-3</v>
      </c>
      <c r="AB73" s="85">
        <f t="shared" si="21"/>
        <v>3.4428615534996339E-3</v>
      </c>
      <c r="AC73" s="85">
        <f t="shared" si="21"/>
        <v>5.5508937075827568E-6</v>
      </c>
    </row>
    <row r="74" spans="1:29">
      <c r="A74" s="57"/>
      <c r="B74" s="57"/>
      <c r="C74" s="57"/>
      <c r="D74" s="57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>
      <c r="A75" s="57"/>
      <c r="B75" s="57"/>
      <c r="C75" s="57"/>
      <c r="O75" s="4"/>
    </row>
    <row r="76" spans="1:29">
      <c r="A76" s="57"/>
      <c r="B76" s="57"/>
      <c r="C76" s="57"/>
      <c r="O76" s="4"/>
      <c r="P76" s="106" t="s">
        <v>390</v>
      </c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</row>
    <row r="77" spans="1:29">
      <c r="A77" s="57"/>
      <c r="B77" s="57"/>
      <c r="C77" s="57"/>
      <c r="O77" s="4"/>
      <c r="P77" s="4"/>
      <c r="Q77" s="9" t="s">
        <v>193</v>
      </c>
      <c r="R77" s="9" t="s">
        <v>194</v>
      </c>
      <c r="S77" s="9" t="s">
        <v>195</v>
      </c>
      <c r="T77" s="9" t="s">
        <v>378</v>
      </c>
      <c r="U77" s="9" t="s">
        <v>379</v>
      </c>
      <c r="V77" s="9" t="s">
        <v>380</v>
      </c>
      <c r="W77" s="9" t="s">
        <v>381</v>
      </c>
      <c r="X77" s="9" t="s">
        <v>382</v>
      </c>
      <c r="Y77" s="9" t="s">
        <v>383</v>
      </c>
      <c r="Z77" s="4" t="s">
        <v>384</v>
      </c>
      <c r="AA77" s="4" t="s">
        <v>385</v>
      </c>
      <c r="AB77" s="4" t="s">
        <v>386</v>
      </c>
      <c r="AC77" s="4" t="s">
        <v>387</v>
      </c>
    </row>
    <row r="78" spans="1:29">
      <c r="A78" s="57"/>
      <c r="B78" s="57"/>
      <c r="O78" s="4"/>
      <c r="P78" s="57" t="s">
        <v>11</v>
      </c>
      <c r="Q78" s="85">
        <f>CORREL($B$28:$B$47,Q53:Q72)</f>
        <v>0.16924517256466504</v>
      </c>
      <c r="R78" s="85">
        <f t="shared" ref="R78:AC78" si="22">CORREL($B$28:$B$47,R53:R72)</f>
        <v>0.71726492446958456</v>
      </c>
      <c r="S78" s="85">
        <f t="shared" si="22"/>
        <v>-0.16808961217234214</v>
      </c>
      <c r="T78" s="85">
        <f t="shared" si="22"/>
        <v>6.2714821922279194E-3</v>
      </c>
      <c r="U78" s="85">
        <f t="shared" si="22"/>
        <v>0.53507041030324431</v>
      </c>
      <c r="V78" s="85">
        <f t="shared" si="22"/>
        <v>-0.3141715725593604</v>
      </c>
      <c r="W78" s="85">
        <f t="shared" si="22"/>
        <v>-0.16810968658290817</v>
      </c>
      <c r="X78" s="85">
        <f t="shared" si="22"/>
        <v>-4.6439966340274232E-2</v>
      </c>
      <c r="Y78" s="85">
        <f t="shared" si="22"/>
        <v>-9.7745861452996297E-2</v>
      </c>
      <c r="Z78" s="85">
        <f t="shared" si="22"/>
        <v>-5.8868953580265442E-2</v>
      </c>
      <c r="AA78" s="85">
        <f t="shared" si="22"/>
        <v>-6.2711688092553196E-3</v>
      </c>
      <c r="AB78" s="85">
        <f t="shared" si="22"/>
        <v>1.0623444734614542E-2</v>
      </c>
      <c r="AC78" s="85">
        <f t="shared" si="22"/>
        <v>-5.2200664329228259E-6</v>
      </c>
    </row>
    <row r="79" spans="1:29">
      <c r="A79" s="57"/>
      <c r="B79" s="57"/>
      <c r="O79" s="4"/>
      <c r="P79" s="57" t="s">
        <v>373</v>
      </c>
      <c r="Q79" s="85">
        <f>CORREL($C$28:$C$47,Q53:Q72)</f>
        <v>0.2346679601617154</v>
      </c>
      <c r="R79" s="85">
        <f t="shared" ref="R79:AC79" si="23">CORREL($C$28:$C$47,R53:R72)</f>
        <v>0.53067212130572106</v>
      </c>
      <c r="S79" s="85">
        <f t="shared" si="23"/>
        <v>0.19929281193272338</v>
      </c>
      <c r="T79" s="85">
        <f t="shared" si="23"/>
        <v>0.67440585850018087</v>
      </c>
      <c r="U79" s="85">
        <f t="shared" si="23"/>
        <v>0.24086146838914638</v>
      </c>
      <c r="V79" s="85">
        <f t="shared" si="23"/>
        <v>0.31516337536052441</v>
      </c>
      <c r="W79" s="85">
        <f t="shared" si="23"/>
        <v>1.09928413826641E-2</v>
      </c>
      <c r="X79" s="85">
        <f t="shared" si="23"/>
        <v>7.7983033247247258E-2</v>
      </c>
      <c r="Y79" s="85">
        <f t="shared" si="23"/>
        <v>4.2714079040615888E-2</v>
      </c>
      <c r="Z79" s="85">
        <f t="shared" si="23"/>
        <v>-5.7527771055929461E-2</v>
      </c>
      <c r="AA79" s="85">
        <f t="shared" si="23"/>
        <v>9.6948585745994659E-3</v>
      </c>
      <c r="AB79" s="85">
        <f t="shared" si="23"/>
        <v>-2.199479734226832E-3</v>
      </c>
      <c r="AC79" s="85">
        <f t="shared" si="23"/>
        <v>-8.784990126227207E-6</v>
      </c>
    </row>
    <row r="80" spans="1:29">
      <c r="A80" s="57"/>
      <c r="B80" s="57"/>
      <c r="O80" s="4"/>
      <c r="P80" s="57" t="s">
        <v>374</v>
      </c>
      <c r="Q80" s="85">
        <f>CORREL($D$28:$D$47,Q53:Q72)</f>
        <v>-0.20801966029286317</v>
      </c>
      <c r="R80" s="85">
        <f t="shared" ref="R80:AC80" si="24">CORREL($D$28:$D$47,R53:R72)</f>
        <v>0.72970921624963014</v>
      </c>
      <c r="S80" s="85">
        <f t="shared" si="24"/>
        <v>-0.39931731742916771</v>
      </c>
      <c r="T80" s="85">
        <f t="shared" si="24"/>
        <v>-0.31762532235850155</v>
      </c>
      <c r="U80" s="85">
        <f t="shared" si="24"/>
        <v>-0.31256523850113754</v>
      </c>
      <c r="V80" s="85">
        <f t="shared" si="24"/>
        <v>0.14597229876474818</v>
      </c>
      <c r="W80" s="85">
        <f t="shared" si="24"/>
        <v>-3.1259507592280494E-2</v>
      </c>
      <c r="X80" s="85">
        <f t="shared" si="24"/>
        <v>-0.13790260365777401</v>
      </c>
      <c r="Y80" s="85">
        <f t="shared" si="24"/>
        <v>0.10615242769627618</v>
      </c>
      <c r="Z80" s="85">
        <f t="shared" si="24"/>
        <v>-0.11667407852310943</v>
      </c>
      <c r="AA80" s="85">
        <f t="shared" si="24"/>
        <v>5.6309969557274192E-3</v>
      </c>
      <c r="AB80" s="85">
        <f t="shared" si="24"/>
        <v>5.6173074092757577E-5</v>
      </c>
      <c r="AC80" s="85">
        <f t="shared" si="24"/>
        <v>-1.6976580331317193E-5</v>
      </c>
    </row>
    <row r="81" spans="1:34">
      <c r="A81" s="57"/>
      <c r="O81" s="4"/>
      <c r="P81" s="57" t="s">
        <v>14</v>
      </c>
      <c r="Q81" s="85">
        <f>CORREL($E$28:$E$47,Q53:Q72)</f>
        <v>0.88131808051655169</v>
      </c>
      <c r="R81" s="85">
        <f t="shared" ref="R81:AC81" si="25">CORREL($E$28:$E$47,R53:R72)</f>
        <v>-0.3769026668300749</v>
      </c>
      <c r="S81" s="85">
        <f t="shared" si="25"/>
        <v>-0.17368188842005877</v>
      </c>
      <c r="T81" s="85">
        <f t="shared" si="25"/>
        <v>3.1381143245133483E-2</v>
      </c>
      <c r="U81" s="85">
        <f t="shared" si="25"/>
        <v>-0.1367820990674842</v>
      </c>
      <c r="V81" s="85">
        <f t="shared" si="25"/>
        <v>-0.10802774387521911</v>
      </c>
      <c r="W81" s="85">
        <f t="shared" si="25"/>
        <v>-0.10166370520770349</v>
      </c>
      <c r="X81" s="85">
        <f t="shared" si="25"/>
        <v>-7.1953752841636669E-3</v>
      </c>
      <c r="Y81" s="85">
        <f t="shared" si="25"/>
        <v>-7.3584541850610974E-2</v>
      </c>
      <c r="Z81" s="85">
        <f t="shared" si="25"/>
        <v>-3.678044610695521E-2</v>
      </c>
      <c r="AA81" s="85">
        <f t="shared" si="25"/>
        <v>4.7663645857183586E-2</v>
      </c>
      <c r="AB81" s="85">
        <f t="shared" si="25"/>
        <v>-1.6331487093794363E-2</v>
      </c>
      <c r="AC81" s="85">
        <f t="shared" si="25"/>
        <v>-3.319518869121813E-5</v>
      </c>
    </row>
    <row r="82" spans="1:34">
      <c r="O82" s="4"/>
      <c r="P82" s="57" t="s">
        <v>15</v>
      </c>
      <c r="Q82" s="85">
        <f>CORREL($F$28:$F$47,Q53:Q72)</f>
        <v>0.83825940132096954</v>
      </c>
      <c r="R82" s="85">
        <f t="shared" ref="R82:AC82" si="26">CORREL($F$28:$F$47,R53:R72)</f>
        <v>-0.2855117816636798</v>
      </c>
      <c r="S82" s="85">
        <f t="shared" si="26"/>
        <v>-0.26027944218994187</v>
      </c>
      <c r="T82" s="85">
        <f t="shared" si="26"/>
        <v>8.9355505740694632E-2</v>
      </c>
      <c r="U82" s="85">
        <f t="shared" si="26"/>
        <v>0.18892618208915854</v>
      </c>
      <c r="V82" s="85">
        <f t="shared" si="26"/>
        <v>-9.9461403967916209E-2</v>
      </c>
      <c r="W82" s="85">
        <f t="shared" si="26"/>
        <v>-0.1534192132255304</v>
      </c>
      <c r="X82" s="85">
        <f t="shared" si="26"/>
        <v>-4.9212562133271756E-2</v>
      </c>
      <c r="Y82" s="85">
        <f t="shared" si="26"/>
        <v>0.25649599962819081</v>
      </c>
      <c r="Z82" s="85">
        <f t="shared" si="26"/>
        <v>5.2018221319527679E-2</v>
      </c>
      <c r="AA82" s="85">
        <f t="shared" si="26"/>
        <v>-3.664277069746205E-3</v>
      </c>
      <c r="AB82" s="85">
        <f t="shared" si="26"/>
        <v>4.458659915779462E-3</v>
      </c>
      <c r="AC82" s="85">
        <f t="shared" si="26"/>
        <v>4.2577240982779749E-6</v>
      </c>
    </row>
    <row r="83" spans="1:34">
      <c r="P83" s="57" t="s">
        <v>16</v>
      </c>
      <c r="Q83" s="85">
        <f>CORREL($G$28:$G$47,Q53:Q72)</f>
        <v>0.46017543678931644</v>
      </c>
      <c r="R83" s="85">
        <f t="shared" ref="R83:AC83" si="27">CORREL($G$28:$G$47,R53:R72)</f>
        <v>0.72564347862952405</v>
      </c>
      <c r="S83" s="85">
        <f t="shared" si="27"/>
        <v>-0.37956238364442713</v>
      </c>
      <c r="T83" s="85">
        <f t="shared" si="27"/>
        <v>3.6905723762013939E-2</v>
      </c>
      <c r="U83" s="85">
        <f t="shared" si="27"/>
        <v>-0.12978919543021439</v>
      </c>
      <c r="V83" s="85">
        <f t="shared" si="27"/>
        <v>0.2097740376012108</v>
      </c>
      <c r="W83" s="85">
        <f t="shared" si="27"/>
        <v>-0.12279232282334486</v>
      </c>
      <c r="X83" s="85">
        <f t="shared" si="27"/>
        <v>-9.5629101847536965E-2</v>
      </c>
      <c r="Y83" s="85">
        <f t="shared" si="27"/>
        <v>-0.1011715628717742</v>
      </c>
      <c r="Z83" s="85">
        <f t="shared" si="27"/>
        <v>0.14469942682725953</v>
      </c>
      <c r="AA83" s="85">
        <f t="shared" si="27"/>
        <v>-1.0805911397803079E-3</v>
      </c>
      <c r="AB83" s="85">
        <f t="shared" si="27"/>
        <v>-1.5603688040993749E-3</v>
      </c>
      <c r="AC83" s="85">
        <f t="shared" si="27"/>
        <v>1.7407467851709113E-5</v>
      </c>
    </row>
    <row r="84" spans="1:34">
      <c r="P84" s="57" t="s">
        <v>17</v>
      </c>
      <c r="Q84" s="85">
        <f>CORREL($H$28:$H$47,Q53:Q72)</f>
        <v>-1.0399437177176973E-3</v>
      </c>
      <c r="R84" s="85">
        <f t="shared" ref="R84:AC84" si="28">CORREL($H$28:$H$47,R53:R72)</f>
        <v>0.74639738474099626</v>
      </c>
      <c r="S84" s="85">
        <f t="shared" si="28"/>
        <v>-0.29944155051028887</v>
      </c>
      <c r="T84" s="85">
        <f t="shared" si="28"/>
        <v>0.17569163507434141</v>
      </c>
      <c r="U84" s="85">
        <f t="shared" si="28"/>
        <v>-0.42251612199153726</v>
      </c>
      <c r="V84" s="85">
        <f t="shared" si="28"/>
        <v>-0.29781183950683759</v>
      </c>
      <c r="W84" s="85">
        <f t="shared" si="28"/>
        <v>6.9761275475192563E-2</v>
      </c>
      <c r="X84" s="85">
        <f t="shared" si="28"/>
        <v>0.21739160793682979</v>
      </c>
      <c r="Y84" s="85">
        <f t="shared" si="28"/>
        <v>4.9922526769013223E-2</v>
      </c>
      <c r="Z84" s="85">
        <f t="shared" si="28"/>
        <v>2.2941973769886687E-2</v>
      </c>
      <c r="AA84" s="85">
        <f t="shared" si="28"/>
        <v>3.0923201007881044E-5</v>
      </c>
      <c r="AB84" s="85">
        <f t="shared" si="28"/>
        <v>-9.8190044362295149E-4</v>
      </c>
      <c r="AC84" s="85">
        <f t="shared" si="28"/>
        <v>8.1623138522272429E-7</v>
      </c>
    </row>
    <row r="85" spans="1:34">
      <c r="P85" s="57" t="s">
        <v>18</v>
      </c>
      <c r="Q85" s="85">
        <f>CORREL($I$28:$I$47,Q53:Q72)</f>
        <v>0.72076882207737614</v>
      </c>
      <c r="R85" s="85">
        <f t="shared" ref="R85:AC85" si="29">CORREL($I$28:$I$47,R53:R72)</f>
        <v>0.29660914946398631</v>
      </c>
      <c r="S85" s="85">
        <f t="shared" si="29"/>
        <v>0.12667039258123797</v>
      </c>
      <c r="T85" s="85">
        <f t="shared" si="29"/>
        <v>-0.51539317190280853</v>
      </c>
      <c r="U85" s="85">
        <f t="shared" si="29"/>
        <v>0.26362514356089273</v>
      </c>
      <c r="V85" s="85">
        <f t="shared" si="29"/>
        <v>0.12493573477798259</v>
      </c>
      <c r="W85" s="85">
        <f t="shared" si="29"/>
        <v>1.4354476649387786E-2</v>
      </c>
      <c r="X85" s="85">
        <f t="shared" si="29"/>
        <v>0.15536733422202173</v>
      </c>
      <c r="Y85" s="85">
        <f t="shared" si="29"/>
        <v>1.3817958704630751E-2</v>
      </c>
      <c r="Z85" s="85">
        <f t="shared" si="29"/>
        <v>-8.3287630471311005E-3</v>
      </c>
      <c r="AA85" s="85">
        <f t="shared" si="29"/>
        <v>-1.2188121002711787E-2</v>
      </c>
      <c r="AB85" s="85">
        <f t="shared" si="29"/>
        <v>-3.1284801532260841E-2</v>
      </c>
      <c r="AC85" s="85">
        <f t="shared" si="29"/>
        <v>2.2878729102347561E-5</v>
      </c>
    </row>
    <row r="86" spans="1:34">
      <c r="P86" s="57" t="s">
        <v>19</v>
      </c>
      <c r="Q86" s="85">
        <f>CORREL($J$28:$J$47,Q53:Q72)</f>
        <v>0.68395268472203707</v>
      </c>
      <c r="R86" s="85">
        <f t="shared" ref="R86:AC86" si="30">CORREL($J$28:$J$47,R53:R72)</f>
        <v>-1.0587100608493718E-2</v>
      </c>
      <c r="S86" s="85">
        <f t="shared" si="30"/>
        <v>-0.51737346418594532</v>
      </c>
      <c r="T86" s="85">
        <f t="shared" si="30"/>
        <v>5.4692920850562328E-2</v>
      </c>
      <c r="U86" s="85">
        <f t="shared" si="30"/>
        <v>0.17344760200028253</v>
      </c>
      <c r="V86" s="85">
        <f t="shared" si="30"/>
        <v>-3.7519264706767246E-2</v>
      </c>
      <c r="W86" s="85">
        <f t="shared" si="30"/>
        <v>0.47178081364209284</v>
      </c>
      <c r="X86" s="85">
        <f t="shared" si="30"/>
        <v>-8.3640128930814725E-2</v>
      </c>
      <c r="Y86" s="85">
        <f t="shared" si="30"/>
        <v>-1.8523976749082276E-2</v>
      </c>
      <c r="Z86" s="85">
        <f t="shared" si="30"/>
        <v>-3.7577553539513402E-3</v>
      </c>
      <c r="AA86" s="85">
        <f t="shared" si="30"/>
        <v>-1.7965502053208554E-3</v>
      </c>
      <c r="AB86" s="85">
        <f t="shared" si="30"/>
        <v>2.2275772629328037E-3</v>
      </c>
      <c r="AC86" s="85">
        <f t="shared" si="30"/>
        <v>-6.0299013149165548E-6</v>
      </c>
    </row>
    <row r="87" spans="1:34">
      <c r="P87" s="57" t="s">
        <v>20</v>
      </c>
      <c r="Q87" s="85">
        <f>CORREL($K$28:$K$47,Q53:Q72)</f>
        <v>-8.4692548929163447E-2</v>
      </c>
      <c r="R87" s="85">
        <f t="shared" ref="R87:AC87" si="31">CORREL($K$28:$K$47,R53:R72)</f>
        <v>0.47865887510269228</v>
      </c>
      <c r="S87" s="85">
        <f t="shared" si="31"/>
        <v>0.80746522406582433</v>
      </c>
      <c r="T87" s="85">
        <f t="shared" si="31"/>
        <v>0.14642719826067002</v>
      </c>
      <c r="U87" s="85">
        <f t="shared" si="31"/>
        <v>-6.9379349348739433E-2</v>
      </c>
      <c r="V87" s="85">
        <f t="shared" si="31"/>
        <v>-0.20608476343979923</v>
      </c>
      <c r="W87" s="85">
        <f t="shared" si="31"/>
        <v>8.9973496877522346E-2</v>
      </c>
      <c r="X87" s="85">
        <f t="shared" si="31"/>
        <v>-0.17632993233158073</v>
      </c>
      <c r="Y87" s="85">
        <f t="shared" si="31"/>
        <v>4.6742404814056747E-2</v>
      </c>
      <c r="Z87" s="85">
        <f t="shared" si="31"/>
        <v>2.9027032511545824E-2</v>
      </c>
      <c r="AA87" s="85">
        <f t="shared" si="31"/>
        <v>1.1053550556868858E-3</v>
      </c>
      <c r="AB87" s="85">
        <f t="shared" si="31"/>
        <v>-2.7772270967177961E-2</v>
      </c>
      <c r="AC87" s="85">
        <f t="shared" si="31"/>
        <v>8.9435294473785651E-6</v>
      </c>
    </row>
    <row r="88" spans="1:34">
      <c r="P88" s="57" t="s">
        <v>21</v>
      </c>
      <c r="Q88" s="85">
        <f>CORREL($L$28:$L$47,Q53:Q72)</f>
        <v>0.4975111894351551</v>
      </c>
      <c r="R88" s="85">
        <f t="shared" ref="R88:AC88" si="32">CORREL($L$28:$L$47,R53:R72)</f>
        <v>0.41193985572077058</v>
      </c>
      <c r="S88" s="85">
        <f t="shared" si="32"/>
        <v>0.6814678458651765</v>
      </c>
      <c r="T88" s="85">
        <f t="shared" si="32"/>
        <v>-0.32404190808462102</v>
      </c>
      <c r="U88" s="85">
        <f t="shared" si="32"/>
        <v>1.8188845140897605E-2</v>
      </c>
      <c r="V88" s="85">
        <f t="shared" si="32"/>
        <v>2.9624314811741957E-2</v>
      </c>
      <c r="W88" s="85">
        <f t="shared" si="32"/>
        <v>8.7551934405820458E-2</v>
      </c>
      <c r="X88" s="85">
        <f t="shared" si="32"/>
        <v>3.4581006856297308E-2</v>
      </c>
      <c r="Y88" s="85">
        <f t="shared" si="32"/>
        <v>2.8353851859605643E-2</v>
      </c>
      <c r="Z88" s="85">
        <f t="shared" si="32"/>
        <v>2.9809469395543839E-2</v>
      </c>
      <c r="AA88" s="85">
        <f t="shared" si="32"/>
        <v>2.2354549866053057E-2</v>
      </c>
      <c r="AB88" s="85">
        <f t="shared" si="32"/>
        <v>3.3531148847250294E-2</v>
      </c>
      <c r="AC88" s="85">
        <f t="shared" si="32"/>
        <v>-5.9828935703176754E-4</v>
      </c>
    </row>
    <row r="89" spans="1:3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P89" s="57" t="s">
        <v>22</v>
      </c>
      <c r="Q89" s="85">
        <f>CORREL($M$28:$M$47,Q53:Q72)</f>
        <v>0.89308088296249677</v>
      </c>
      <c r="R89" s="85">
        <f t="shared" ref="R89:AC89" si="33">CORREL($M$28:$M$47,R53:R72)</f>
        <v>-0.21176706876323234</v>
      </c>
      <c r="S89" s="85">
        <f t="shared" si="33"/>
        <v>0.14516352374270355</v>
      </c>
      <c r="T89" s="85">
        <f t="shared" si="33"/>
        <v>0.15725592333484156</v>
      </c>
      <c r="U89" s="85">
        <f t="shared" si="33"/>
        <v>-0.31665465309325852</v>
      </c>
      <c r="V89" s="85">
        <f t="shared" si="33"/>
        <v>-7.4687690407688363E-3</v>
      </c>
      <c r="W89" s="85">
        <f t="shared" si="33"/>
        <v>-6.2261478080457108E-2</v>
      </c>
      <c r="X89" s="85">
        <f t="shared" si="33"/>
        <v>-2.6570961563810482E-2</v>
      </c>
      <c r="Y89" s="85">
        <f t="shared" si="33"/>
        <v>-5.5572522470567091E-2</v>
      </c>
      <c r="Z89" s="85">
        <f t="shared" si="33"/>
        <v>-5.398757067865536E-2</v>
      </c>
      <c r="AA89" s="85">
        <f t="shared" si="33"/>
        <v>-2.9067258029889076E-2</v>
      </c>
      <c r="AB89" s="85">
        <f t="shared" si="33"/>
        <v>9.8272596365496924E-4</v>
      </c>
      <c r="AC89" s="85">
        <f t="shared" si="33"/>
        <v>-1.4412668962931806E-3</v>
      </c>
    </row>
    <row r="90" spans="1:3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P90" s="57" t="s">
        <v>23</v>
      </c>
      <c r="Q90" s="85">
        <f>CORREL($N$28:$N$47,Q53:Q72)</f>
        <v>0.90131043593780646</v>
      </c>
      <c r="R90" s="85">
        <f t="shared" ref="R90:AC90" si="34">CORREL($N$28:$N$47,R53:R72)</f>
        <v>-4.1717932930173403E-2</v>
      </c>
      <c r="S90" s="85">
        <f t="shared" si="34"/>
        <v>0.34004262661472306</v>
      </c>
      <c r="T90" s="85">
        <f t="shared" si="34"/>
        <v>2.4952592009145402E-2</v>
      </c>
      <c r="U90" s="85">
        <f t="shared" si="34"/>
        <v>-0.25674179668192915</v>
      </c>
      <c r="V90" s="85">
        <f t="shared" si="34"/>
        <v>1.5606606636760171E-3</v>
      </c>
      <c r="W90" s="85">
        <f t="shared" si="34"/>
        <v>-2.130703019121781E-2</v>
      </c>
      <c r="X90" s="85">
        <f t="shared" si="34"/>
        <v>-1.1634811735794469E-2</v>
      </c>
      <c r="Y90" s="85">
        <f t="shared" si="34"/>
        <v>-3.6342559036184351E-2</v>
      </c>
      <c r="Z90" s="85">
        <f t="shared" si="34"/>
        <v>-3.788229751194723E-2</v>
      </c>
      <c r="AA90" s="85">
        <f t="shared" si="34"/>
        <v>-1.5017369673775028E-2</v>
      </c>
      <c r="AB90" s="85">
        <f t="shared" si="34"/>
        <v>1.2444415427958414E-2</v>
      </c>
      <c r="AC90" s="85">
        <f t="shared" si="34"/>
        <v>1.7644367771814558E-3</v>
      </c>
    </row>
    <row r="91" spans="1:3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Q91" s="4"/>
      <c r="R91" s="4"/>
      <c r="S91" s="4"/>
    </row>
    <row r="92" spans="1:34">
      <c r="Q92" s="4"/>
      <c r="R92" s="4"/>
      <c r="S92" s="4"/>
    </row>
    <row r="93" spans="1:34">
      <c r="A93" s="106" t="s">
        <v>201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</row>
    <row r="94" spans="1:34">
      <c r="A94" s="4" t="s">
        <v>2</v>
      </c>
      <c r="B94" s="57" t="s">
        <v>11</v>
      </c>
      <c r="C94" s="57" t="s">
        <v>373</v>
      </c>
      <c r="D94" s="57" t="s">
        <v>374</v>
      </c>
      <c r="E94" s="57" t="s">
        <v>14</v>
      </c>
      <c r="F94" s="57" t="s">
        <v>15</v>
      </c>
      <c r="G94" s="57" t="s">
        <v>16</v>
      </c>
      <c r="H94" s="57" t="s">
        <v>17</v>
      </c>
      <c r="I94" s="57" t="s">
        <v>18</v>
      </c>
      <c r="J94" s="57" t="s">
        <v>19</v>
      </c>
      <c r="K94" s="57" t="s">
        <v>20</v>
      </c>
      <c r="L94" s="57" t="s">
        <v>21</v>
      </c>
      <c r="M94" s="57" t="s">
        <v>22</v>
      </c>
      <c r="N94" s="57" t="s">
        <v>23</v>
      </c>
    </row>
    <row r="95" spans="1:34">
      <c r="A95" s="4" t="s">
        <v>48</v>
      </c>
      <c r="B95" s="4">
        <f>B28</f>
        <v>0.61590349520791399</v>
      </c>
      <c r="C95" s="4">
        <f t="shared" ref="C95:N95" si="35">C28</f>
        <v>0.64662489868942508</v>
      </c>
      <c r="D95" s="4">
        <f t="shared" si="35"/>
        <v>-0.63538492031851512</v>
      </c>
      <c r="E95" s="4">
        <f t="shared" si="35"/>
        <v>-1.2703321044085139</v>
      </c>
      <c r="F95" s="4">
        <f t="shared" si="35"/>
        <v>-1.0593234889578875</v>
      </c>
      <c r="G95" s="4">
        <f t="shared" si="35"/>
        <v>-0.60700554401515383</v>
      </c>
      <c r="H95" s="4">
        <f t="shared" si="35"/>
        <v>-0.53931834185411431</v>
      </c>
      <c r="I95" s="4">
        <f t="shared" si="35"/>
        <v>-0.80226629025302032</v>
      </c>
      <c r="J95" s="4">
        <f t="shared" si="35"/>
        <v>-1.8137677493409201</v>
      </c>
      <c r="K95" s="4">
        <f t="shared" si="35"/>
        <v>2.0634911099667343</v>
      </c>
      <c r="L95" s="4">
        <f t="shared" si="35"/>
        <v>0.62001830401125879</v>
      </c>
      <c r="M95" s="4">
        <f t="shared" si="35"/>
        <v>-0.70361611043623284</v>
      </c>
      <c r="N95" s="4">
        <f t="shared" si="35"/>
        <v>-0.38374241392365177</v>
      </c>
    </row>
    <row r="96" spans="1:34">
      <c r="A96" s="4" t="s">
        <v>49</v>
      </c>
      <c r="B96" s="4">
        <f t="shared" ref="B96:N96" si="36">B29</f>
        <v>0.67718742507934815</v>
      </c>
      <c r="C96" s="4">
        <f t="shared" si="36"/>
        <v>1.4809796066757803</v>
      </c>
      <c r="D96" s="4">
        <f t="shared" si="36"/>
        <v>-0.19718842354712546</v>
      </c>
      <c r="E96" s="4">
        <f t="shared" si="36"/>
        <v>-4.4931360606088974E-2</v>
      </c>
      <c r="F96" s="4">
        <f t="shared" si="36"/>
        <v>-0.47887226213164769</v>
      </c>
      <c r="G96" s="4">
        <f t="shared" si="36"/>
        <v>-9.1970536971993005E-2</v>
      </c>
      <c r="H96" s="4">
        <f t="shared" si="36"/>
        <v>1.239876187973892</v>
      </c>
      <c r="I96" s="4">
        <f t="shared" si="36"/>
        <v>-0.4757625674756284</v>
      </c>
      <c r="J96" s="4">
        <f t="shared" si="36"/>
        <v>-0.7723699985231669</v>
      </c>
      <c r="K96" s="4">
        <f t="shared" si="36"/>
        <v>1.8338954370914369</v>
      </c>
      <c r="L96" s="4">
        <f t="shared" si="36"/>
        <v>0.76133301717621815</v>
      </c>
      <c r="M96" s="4">
        <f t="shared" si="36"/>
        <v>0.75357701768614349</v>
      </c>
      <c r="N96" s="4">
        <f t="shared" si="36"/>
        <v>0.8704681743125674</v>
      </c>
      <c r="AB96" s="9"/>
      <c r="AC96" s="57"/>
      <c r="AD96" s="57"/>
      <c r="AE96" s="57"/>
      <c r="AF96" s="57"/>
      <c r="AG96" s="57"/>
      <c r="AH96" s="57"/>
    </row>
    <row r="97" spans="1:33">
      <c r="A97" s="4" t="s">
        <v>50</v>
      </c>
      <c r="B97" s="4">
        <f t="shared" ref="B97:N97" si="37">B30</f>
        <v>-1.5290340502922815</v>
      </c>
      <c r="C97" s="4">
        <f t="shared" si="37"/>
        <v>-0.60490716329010774</v>
      </c>
      <c r="D97" s="4">
        <f t="shared" si="37"/>
        <v>0.67920456999565393</v>
      </c>
      <c r="E97" s="4">
        <f t="shared" si="37"/>
        <v>-1.4337188702488373</v>
      </c>
      <c r="F97" s="4">
        <f t="shared" si="37"/>
        <v>-1.7641571215326073</v>
      </c>
      <c r="G97" s="4">
        <f t="shared" si="37"/>
        <v>-0.60700554401515383</v>
      </c>
      <c r="H97" s="4">
        <f t="shared" si="37"/>
        <v>0.23907926494563839</v>
      </c>
      <c r="I97" s="4">
        <f t="shared" si="37"/>
        <v>-0.1959022336664353</v>
      </c>
      <c r="J97" s="4">
        <f t="shared" si="37"/>
        <v>-1.3364604468827832</v>
      </c>
      <c r="K97" s="4">
        <f t="shared" si="37"/>
        <v>1.6616986824349635</v>
      </c>
      <c r="L97" s="4">
        <f t="shared" si="37"/>
        <v>1.3619205481272951</v>
      </c>
      <c r="M97" s="4">
        <f t="shared" si="37"/>
        <v>-0.77300625939444123</v>
      </c>
      <c r="N97" s="4">
        <f t="shared" si="37"/>
        <v>-0.19963810739356436</v>
      </c>
      <c r="AB97" s="9"/>
      <c r="AC97" s="57"/>
      <c r="AD97" s="57"/>
      <c r="AE97" s="57"/>
      <c r="AF97" s="57"/>
      <c r="AG97" s="57"/>
    </row>
    <row r="98" spans="1:33">
      <c r="A98" s="4" t="s">
        <v>51</v>
      </c>
      <c r="B98" s="4">
        <f t="shared" ref="B98:N98" si="38">B31</f>
        <v>0.4320517055936115</v>
      </c>
      <c r="C98" s="4">
        <f t="shared" si="38"/>
        <v>1.759097842671232</v>
      </c>
      <c r="D98" s="4">
        <f t="shared" si="38"/>
        <v>-0.19718842354712546</v>
      </c>
      <c r="E98" s="4">
        <f t="shared" si="38"/>
        <v>0.28184217107455767</v>
      </c>
      <c r="F98" s="4">
        <f t="shared" si="38"/>
        <v>0.39180457810771196</v>
      </c>
      <c r="G98" s="4">
        <f t="shared" si="38"/>
        <v>0.79094661795913979</v>
      </c>
      <c r="H98" s="4">
        <f t="shared" si="38"/>
        <v>0.90627721363114078</v>
      </c>
      <c r="I98" s="4">
        <f t="shared" si="38"/>
        <v>-5.5972066761838753E-2</v>
      </c>
      <c r="J98" s="4">
        <f t="shared" si="38"/>
        <v>1.4839917949152985</v>
      </c>
      <c r="K98" s="4">
        <f t="shared" si="38"/>
        <v>0.7433159909337731</v>
      </c>
      <c r="L98" s="4">
        <f t="shared" si="38"/>
        <v>0.44337491255505962</v>
      </c>
      <c r="M98" s="4">
        <f t="shared" si="38"/>
        <v>0.78133307726942691</v>
      </c>
      <c r="N98" s="4">
        <f t="shared" si="38"/>
        <v>0.80142905936378461</v>
      </c>
      <c r="AB98" s="9"/>
      <c r="AC98" s="57"/>
      <c r="AD98" s="57"/>
      <c r="AE98" s="57"/>
    </row>
    <row r="99" spans="1:33">
      <c r="A99" s="4" t="s">
        <v>52</v>
      </c>
      <c r="B99" s="4">
        <f t="shared" ref="B99:N99" si="39">B32</f>
        <v>0.55461956533647983</v>
      </c>
      <c r="C99" s="4">
        <f t="shared" si="39"/>
        <v>-0.88302539928555945</v>
      </c>
      <c r="D99" s="4">
        <f t="shared" si="39"/>
        <v>-0.19718842354712546</v>
      </c>
      <c r="E99" s="4">
        <f t="shared" si="39"/>
        <v>-0.53509165812705894</v>
      </c>
      <c r="F99" s="4">
        <f t="shared" si="39"/>
        <v>1.8657360862272113E-2</v>
      </c>
      <c r="G99" s="4">
        <f t="shared" si="39"/>
        <v>-0.68058197359274819</v>
      </c>
      <c r="H99" s="4">
        <f t="shared" si="39"/>
        <v>-0.53931834185411431</v>
      </c>
      <c r="I99" s="4">
        <f t="shared" si="39"/>
        <v>0.78360893466574055</v>
      </c>
      <c r="J99" s="4">
        <f t="shared" si="39"/>
        <v>0.26902775229458636</v>
      </c>
      <c r="K99" s="4">
        <f t="shared" si="39"/>
        <v>0.57111923627729999</v>
      </c>
      <c r="L99" s="4">
        <f t="shared" si="39"/>
        <v>0.79666169546745791</v>
      </c>
      <c r="M99" s="4">
        <f t="shared" si="39"/>
        <v>-0.67586005085294942</v>
      </c>
      <c r="N99" s="4">
        <f t="shared" si="39"/>
        <v>-0.30319677981673854</v>
      </c>
      <c r="AB99" s="9"/>
      <c r="AC99" s="57"/>
      <c r="AD99" s="57"/>
    </row>
    <row r="100" spans="1:33">
      <c r="A100" s="4" t="s">
        <v>53</v>
      </c>
      <c r="B100" s="4">
        <f t="shared" ref="B100:N100" si="40">B33</f>
        <v>0.61590349520791399</v>
      </c>
      <c r="C100" s="4">
        <f t="shared" si="40"/>
        <v>0.92474313468487679</v>
      </c>
      <c r="D100" s="4">
        <f t="shared" si="40"/>
        <v>0.24100807322426426</v>
      </c>
      <c r="E100" s="4">
        <f t="shared" si="40"/>
        <v>0.44522893691488102</v>
      </c>
      <c r="F100" s="4">
        <f t="shared" si="40"/>
        <v>1.2624814183470716</v>
      </c>
      <c r="G100" s="4">
        <f t="shared" si="40"/>
        <v>0.42306447007116782</v>
      </c>
      <c r="H100" s="4">
        <f t="shared" si="40"/>
        <v>-0.98411697431111589</v>
      </c>
      <c r="I100" s="4">
        <f t="shared" si="40"/>
        <v>2.1362672147435071</v>
      </c>
      <c r="J100" s="4">
        <f t="shared" si="40"/>
        <v>8.678314590148067E-3</v>
      </c>
      <c r="K100" s="4">
        <f t="shared" si="40"/>
        <v>0.45632139983965431</v>
      </c>
      <c r="L100" s="4">
        <f t="shared" si="40"/>
        <v>1.6798786527484537</v>
      </c>
      <c r="M100" s="4">
        <f t="shared" si="40"/>
        <v>0.67030883893629334</v>
      </c>
      <c r="N100" s="4">
        <f t="shared" si="40"/>
        <v>1.1005985574751767</v>
      </c>
      <c r="AB100" s="9"/>
      <c r="AC100" s="57"/>
    </row>
    <row r="101" spans="1:33">
      <c r="A101" s="4" t="s">
        <v>54</v>
      </c>
      <c r="B101" s="4">
        <f t="shared" ref="B101:N101" si="41">B34</f>
        <v>1.1674588640508214</v>
      </c>
      <c r="C101" s="4">
        <f t="shared" si="41"/>
        <v>0.64662489868942508</v>
      </c>
      <c r="D101" s="4">
        <f t="shared" si="41"/>
        <v>-0.19718842354712546</v>
      </c>
      <c r="E101" s="4">
        <f t="shared" si="41"/>
        <v>1.180469383196336</v>
      </c>
      <c r="F101" s="4">
        <f t="shared" si="41"/>
        <v>1.0551774087662718</v>
      </c>
      <c r="G101" s="4">
        <f t="shared" si="41"/>
        <v>1.3059816250023006</v>
      </c>
      <c r="H101" s="4">
        <f t="shared" si="41"/>
        <v>-0.53931834185411431</v>
      </c>
      <c r="I101" s="4">
        <f t="shared" si="41"/>
        <v>1.2500428243477291</v>
      </c>
      <c r="J101" s="4">
        <f t="shared" si="41"/>
        <v>1.7877328055704766</v>
      </c>
      <c r="K101" s="4">
        <f t="shared" si="41"/>
        <v>0.34152356340200551</v>
      </c>
      <c r="L101" s="4">
        <f t="shared" si="41"/>
        <v>0.93797640863241727</v>
      </c>
      <c r="M101" s="4">
        <f t="shared" si="41"/>
        <v>1.045015643310619</v>
      </c>
      <c r="N101" s="4">
        <f t="shared" si="41"/>
        <v>1.1696376724239594</v>
      </c>
    </row>
    <row r="102" spans="1:33">
      <c r="A102" s="4" t="s">
        <v>55</v>
      </c>
      <c r="B102" s="4">
        <f t="shared" ref="B102:N102" si="42">B35</f>
        <v>-0.91619475157793995</v>
      </c>
      <c r="C102" s="4">
        <f t="shared" si="42"/>
        <v>9.0388426698521623E-2</v>
      </c>
      <c r="D102" s="4">
        <f t="shared" si="42"/>
        <v>-0.63538492031851512</v>
      </c>
      <c r="E102" s="4">
        <f t="shared" si="42"/>
        <v>1.3438561490366594</v>
      </c>
      <c r="F102" s="4">
        <f t="shared" si="42"/>
        <v>0.88933420110163175</v>
      </c>
      <c r="G102" s="4">
        <f t="shared" si="42"/>
        <v>0.5702173292263566</v>
      </c>
      <c r="H102" s="4">
        <f t="shared" si="42"/>
        <v>0.12787960683138799</v>
      </c>
      <c r="I102" s="4">
        <f t="shared" si="42"/>
        <v>-5.5972066761838753E-2</v>
      </c>
      <c r="J102" s="4">
        <f t="shared" si="42"/>
        <v>-0.902544717375386</v>
      </c>
      <c r="K102" s="4">
        <f t="shared" si="42"/>
        <v>0.28412464518318109</v>
      </c>
      <c r="L102" s="4">
        <f t="shared" si="42"/>
        <v>0.40804623426381981</v>
      </c>
      <c r="M102" s="4">
        <f t="shared" si="42"/>
        <v>1.8499413712258375</v>
      </c>
      <c r="N102" s="4">
        <f t="shared" si="42"/>
        <v>1.6529114770654389</v>
      </c>
    </row>
    <row r="103" spans="1:33">
      <c r="A103" s="4" t="s">
        <v>56</v>
      </c>
      <c r="B103" s="4">
        <f t="shared" ref="B103:N103" si="43">B36</f>
        <v>1.6577303030222947</v>
      </c>
      <c r="C103" s="4">
        <f t="shared" si="43"/>
        <v>0.78568401668715093</v>
      </c>
      <c r="D103" s="4">
        <f t="shared" si="43"/>
        <v>0.67920456999565393</v>
      </c>
      <c r="E103" s="4">
        <f t="shared" si="43"/>
        <v>-4.4931360606088974E-2</v>
      </c>
      <c r="F103" s="4">
        <f t="shared" si="43"/>
        <v>-0.39595065829932774</v>
      </c>
      <c r="G103" s="4">
        <f t="shared" si="43"/>
        <v>1.5267109137350838</v>
      </c>
      <c r="H103" s="4">
        <f t="shared" si="43"/>
        <v>1.7958744785451437</v>
      </c>
      <c r="I103" s="4">
        <f t="shared" si="43"/>
        <v>1.2033994353795303</v>
      </c>
      <c r="J103" s="4">
        <f t="shared" si="43"/>
        <v>0.61616033590050412</v>
      </c>
      <c r="K103" s="4">
        <f t="shared" si="43"/>
        <v>5.4528972307883498E-2</v>
      </c>
      <c r="L103" s="4">
        <f t="shared" si="43"/>
        <v>0.62001830401125879</v>
      </c>
      <c r="M103" s="4">
        <f t="shared" si="43"/>
        <v>-0.19012900814549014</v>
      </c>
      <c r="N103" s="4">
        <f t="shared" si="43"/>
        <v>4.1998794927175363E-2</v>
      </c>
    </row>
    <row r="104" spans="1:33">
      <c r="A104" s="4" t="s">
        <v>57</v>
      </c>
      <c r="B104" s="4">
        <f t="shared" ref="B104:N104" si="44">B37</f>
        <v>0.79975528482221647</v>
      </c>
      <c r="C104" s="4">
        <f t="shared" si="44"/>
        <v>-0.18772980929693012</v>
      </c>
      <c r="D104" s="4">
        <f t="shared" si="44"/>
        <v>0.24100807322426426</v>
      </c>
      <c r="E104" s="4">
        <f t="shared" si="44"/>
        <v>-1.1886387214883523</v>
      </c>
      <c r="F104" s="4">
        <f t="shared" si="44"/>
        <v>-0.56179386596396763</v>
      </c>
      <c r="G104" s="4">
        <f t="shared" si="44"/>
        <v>-0.38627625528237064</v>
      </c>
      <c r="H104" s="4">
        <f t="shared" si="44"/>
        <v>0.68387789740263993</v>
      </c>
      <c r="I104" s="4">
        <f t="shared" si="44"/>
        <v>0.31717504498375204</v>
      </c>
      <c r="J104" s="4">
        <f t="shared" si="44"/>
        <v>-0.598803706720208</v>
      </c>
      <c r="K104" s="4">
        <f t="shared" si="44"/>
        <v>-0.11766778234858971</v>
      </c>
      <c r="L104" s="4">
        <f t="shared" si="44"/>
        <v>1.9430773060183669E-2</v>
      </c>
      <c r="M104" s="4">
        <f t="shared" si="44"/>
        <v>-1.3697615404350334</v>
      </c>
      <c r="N104" s="4">
        <f t="shared" si="44"/>
        <v>-1.131666159202132</v>
      </c>
    </row>
    <row r="105" spans="1:33">
      <c r="A105" s="4" t="s">
        <v>58</v>
      </c>
      <c r="B105" s="4">
        <f t="shared" ref="B105:N105" si="45">B38</f>
        <v>-0.73234296196363746</v>
      </c>
      <c r="C105" s="4">
        <f t="shared" si="45"/>
        <v>-0.7439662812878336</v>
      </c>
      <c r="D105" s="4">
        <f t="shared" si="45"/>
        <v>0.67920456999565393</v>
      </c>
      <c r="E105" s="4">
        <f t="shared" si="45"/>
        <v>-0.94355857272786725</v>
      </c>
      <c r="F105" s="4">
        <f t="shared" si="45"/>
        <v>-1.1007842908740475</v>
      </c>
      <c r="G105" s="4">
        <f t="shared" si="45"/>
        <v>-0.97488769190312585</v>
      </c>
      <c r="H105" s="4">
        <f t="shared" si="45"/>
        <v>-9.4519709397112794E-2</v>
      </c>
      <c r="I105" s="4">
        <f t="shared" si="45"/>
        <v>-1.4086303468396053</v>
      </c>
      <c r="J105" s="4">
        <f t="shared" si="45"/>
        <v>-1.076111009178345</v>
      </c>
      <c r="K105" s="4">
        <f t="shared" si="45"/>
        <v>-0.11766778234858971</v>
      </c>
      <c r="L105" s="4">
        <f t="shared" si="45"/>
        <v>-1.1110869322594907</v>
      </c>
      <c r="M105" s="4">
        <f t="shared" si="45"/>
        <v>-0.95342064668578252</v>
      </c>
      <c r="N105" s="4">
        <f t="shared" si="45"/>
        <v>-1.1431726783602623</v>
      </c>
    </row>
    <row r="106" spans="1:33">
      <c r="A106" s="4" t="s">
        <v>59</v>
      </c>
      <c r="B106" s="4">
        <f t="shared" ref="B106:N106" si="46">B39</f>
        <v>-1.4064661905494131</v>
      </c>
      <c r="C106" s="4">
        <f t="shared" si="46"/>
        <v>-0.46584804529238188</v>
      </c>
      <c r="D106" s="4">
        <f t="shared" si="46"/>
        <v>-1.073581417089905</v>
      </c>
      <c r="E106" s="4">
        <f t="shared" si="46"/>
        <v>-0.61678504104722065</v>
      </c>
      <c r="F106" s="4">
        <f t="shared" si="46"/>
        <v>-0.60325466788012772</v>
      </c>
      <c r="G106" s="4">
        <f t="shared" si="46"/>
        <v>-1.5634991285238811</v>
      </c>
      <c r="H106" s="4">
        <f t="shared" si="46"/>
        <v>-0.76171765808261516</v>
      </c>
      <c r="I106" s="4">
        <f t="shared" si="46"/>
        <v>-1.7351340696169975</v>
      </c>
      <c r="J106" s="4">
        <f t="shared" si="46"/>
        <v>0.26902775229458636</v>
      </c>
      <c r="K106" s="4">
        <f t="shared" si="46"/>
        <v>-0.40466237344271172</v>
      </c>
      <c r="L106" s="4">
        <f t="shared" si="46"/>
        <v>-1.6410171066280883</v>
      </c>
      <c r="M106" s="4">
        <f t="shared" si="46"/>
        <v>-0.7174941402278745</v>
      </c>
      <c r="N106" s="4">
        <f t="shared" si="46"/>
        <v>-1.131666159202132</v>
      </c>
    </row>
    <row r="107" spans="1:33">
      <c r="A107" s="4" t="s">
        <v>60</v>
      </c>
      <c r="B107" s="4">
        <f t="shared" ref="B107:N107" si="47">B40</f>
        <v>0.79975528482221647</v>
      </c>
      <c r="C107" s="4">
        <f t="shared" si="47"/>
        <v>-4.8670691299204254E-2</v>
      </c>
      <c r="D107" s="4">
        <f t="shared" si="47"/>
        <v>2.4319905570812126</v>
      </c>
      <c r="E107" s="4">
        <f t="shared" si="47"/>
        <v>-1.5154122531689989</v>
      </c>
      <c r="F107" s="4">
        <f t="shared" si="47"/>
        <v>-1.7641571215326073</v>
      </c>
      <c r="G107" s="4">
        <f t="shared" si="47"/>
        <v>1.3795580545798951</v>
      </c>
      <c r="H107" s="4">
        <f t="shared" si="47"/>
        <v>0.35027892305988878</v>
      </c>
      <c r="I107" s="4">
        <f t="shared" si="47"/>
        <v>0.22388826704735434</v>
      </c>
      <c r="J107" s="4">
        <f t="shared" si="47"/>
        <v>-0.64219527967094769</v>
      </c>
      <c r="K107" s="4">
        <f t="shared" si="47"/>
        <v>-0.57685912809918494</v>
      </c>
      <c r="L107" s="4">
        <f t="shared" si="47"/>
        <v>-0.26319865326973496</v>
      </c>
      <c r="M107" s="4">
        <f t="shared" si="47"/>
        <v>-1.5362978979347337</v>
      </c>
      <c r="N107" s="4">
        <f t="shared" si="47"/>
        <v>-1.3617965423647398</v>
      </c>
    </row>
    <row r="108" spans="1:33">
      <c r="A108" s="4" t="s">
        <v>61</v>
      </c>
      <c r="B108" s="4">
        <f t="shared" ref="B108:N108" si="48">B41</f>
        <v>-1.2226144009351108</v>
      </c>
      <c r="C108" s="4">
        <f t="shared" si="48"/>
        <v>-0.32678892729465597</v>
      </c>
      <c r="D108" s="4">
        <f t="shared" si="48"/>
        <v>-0.63538492031851512</v>
      </c>
      <c r="E108" s="4">
        <f t="shared" si="48"/>
        <v>-0.20831812644641232</v>
      </c>
      <c r="F108" s="4">
        <f t="shared" si="48"/>
        <v>-0.85201947937708755</v>
      </c>
      <c r="G108" s="4">
        <f t="shared" si="48"/>
        <v>-1.1956169806359092</v>
      </c>
      <c r="H108" s="4">
        <f t="shared" si="48"/>
        <v>-0.76171765808261516</v>
      </c>
      <c r="I108" s="4">
        <f t="shared" si="48"/>
        <v>-1.1287700130304124</v>
      </c>
      <c r="J108" s="4">
        <f t="shared" si="48"/>
        <v>-0.5120205608187286</v>
      </c>
      <c r="K108" s="4">
        <f t="shared" si="48"/>
        <v>-0.74905588275565815</v>
      </c>
      <c r="L108" s="4">
        <f t="shared" si="48"/>
        <v>-1.1464156105507306</v>
      </c>
      <c r="M108" s="4">
        <f t="shared" si="48"/>
        <v>-0.34278733585354876</v>
      </c>
      <c r="N108" s="4">
        <f t="shared" si="48"/>
        <v>-0.64839235456065247</v>
      </c>
    </row>
    <row r="109" spans="1:33">
      <c r="A109" s="4" t="s">
        <v>62</v>
      </c>
      <c r="B109" s="4">
        <f t="shared" ref="B109:N109" si="49">B42</f>
        <v>0.4320517055936115</v>
      </c>
      <c r="C109" s="4">
        <f t="shared" si="49"/>
        <v>-2.2736165792628182</v>
      </c>
      <c r="D109" s="4">
        <f t="shared" si="49"/>
        <v>-1.073581417089905</v>
      </c>
      <c r="E109" s="4">
        <f t="shared" si="49"/>
        <v>1.0987760002761744</v>
      </c>
      <c r="F109" s="4">
        <f t="shared" si="49"/>
        <v>0.88933420110163175</v>
      </c>
      <c r="G109" s="4">
        <f t="shared" si="49"/>
        <v>-1.4163462693686923</v>
      </c>
      <c r="H109" s="4">
        <f t="shared" si="49"/>
        <v>-0.87291731619686552</v>
      </c>
      <c r="I109" s="4">
        <f t="shared" si="49"/>
        <v>0.17724487807915551</v>
      </c>
      <c r="J109" s="4">
        <f t="shared" si="49"/>
        <v>9.5461460491627501E-2</v>
      </c>
      <c r="K109" s="4">
        <f t="shared" si="49"/>
        <v>-0.80645480097448252</v>
      </c>
      <c r="L109" s="4">
        <f t="shared" si="49"/>
        <v>-0.40451336643469427</v>
      </c>
      <c r="M109" s="4">
        <f t="shared" si="49"/>
        <v>7.355355789570206E-2</v>
      </c>
      <c r="N109" s="4">
        <f t="shared" si="49"/>
        <v>-6.155987749599881E-2</v>
      </c>
    </row>
    <row r="110" spans="1:33">
      <c r="A110" s="4" t="s">
        <v>63</v>
      </c>
      <c r="B110" s="4">
        <f t="shared" ref="B110:N110" si="50">B43</f>
        <v>0.73847135495078231</v>
      </c>
      <c r="C110" s="4">
        <f t="shared" si="50"/>
        <v>-0.46584804529238188</v>
      </c>
      <c r="D110" s="4">
        <f t="shared" si="50"/>
        <v>2.4319905570812126</v>
      </c>
      <c r="E110" s="4">
        <f t="shared" si="50"/>
        <v>0.52692231983504267</v>
      </c>
      <c r="F110" s="4">
        <f t="shared" si="50"/>
        <v>0.88933420110163175</v>
      </c>
      <c r="G110" s="4">
        <f t="shared" si="50"/>
        <v>1.894593061623056</v>
      </c>
      <c r="H110" s="4">
        <f t="shared" si="50"/>
        <v>2.5742720853448966</v>
      </c>
      <c r="I110" s="4">
        <f t="shared" si="50"/>
        <v>-0.42911917850742953</v>
      </c>
      <c r="J110" s="4">
        <f t="shared" si="50"/>
        <v>1.3104255031123397</v>
      </c>
      <c r="K110" s="4">
        <f t="shared" si="50"/>
        <v>-0.80645480097448252</v>
      </c>
      <c r="L110" s="4">
        <f t="shared" si="50"/>
        <v>-1.0757582539682511</v>
      </c>
      <c r="M110" s="4">
        <f t="shared" si="50"/>
        <v>0.17069976643719392</v>
      </c>
      <c r="N110" s="4">
        <f t="shared" si="50"/>
        <v>-0.19963810739356436</v>
      </c>
    </row>
    <row r="111" spans="1:33">
      <c r="A111" s="4" t="s">
        <v>64</v>
      </c>
      <c r="B111" s="4">
        <f t="shared" ref="B111:N111" si="51">B44</f>
        <v>-1.8354536996494524</v>
      </c>
      <c r="C111" s="4">
        <f t="shared" si="51"/>
        <v>-1.5783209892741887</v>
      </c>
      <c r="D111" s="4">
        <f t="shared" si="51"/>
        <v>-0.63538492031851512</v>
      </c>
      <c r="E111" s="4">
        <f t="shared" si="51"/>
        <v>2.0790965953181142</v>
      </c>
      <c r="F111" s="4">
        <f t="shared" si="51"/>
        <v>0.97225580493395181</v>
      </c>
      <c r="G111" s="4">
        <f t="shared" si="51"/>
        <v>-0.23912339612718181</v>
      </c>
      <c r="H111" s="4">
        <f t="shared" si="51"/>
        <v>-0.87291731619686552</v>
      </c>
      <c r="I111" s="4">
        <f t="shared" si="51"/>
        <v>1.2966862133159278</v>
      </c>
      <c r="J111" s="4">
        <f t="shared" si="51"/>
        <v>1.093467638358641</v>
      </c>
      <c r="K111" s="4">
        <f t="shared" si="51"/>
        <v>-1.0360504738497802</v>
      </c>
      <c r="L111" s="4">
        <f t="shared" si="51"/>
        <v>0.86731905204993753</v>
      </c>
      <c r="M111" s="4">
        <f t="shared" si="51"/>
        <v>2.1691360564335964</v>
      </c>
      <c r="N111" s="4">
        <f t="shared" si="51"/>
        <v>2.0786526859162646</v>
      </c>
    </row>
    <row r="112" spans="1:33">
      <c r="A112" s="4" t="s">
        <v>65</v>
      </c>
      <c r="B112" s="4">
        <f t="shared" ref="B112:N112" si="52">B45</f>
        <v>-0.73234296196363746</v>
      </c>
      <c r="C112" s="4">
        <f t="shared" si="52"/>
        <v>-4.8670691299204254E-2</v>
      </c>
      <c r="D112" s="4">
        <f t="shared" si="52"/>
        <v>-0.19718842354712546</v>
      </c>
      <c r="E112" s="4">
        <f t="shared" si="52"/>
        <v>3.676202231407269E-2</v>
      </c>
      <c r="F112" s="4">
        <f t="shared" si="52"/>
        <v>0.14303976661075207</v>
      </c>
      <c r="G112" s="4">
        <f t="shared" si="52"/>
        <v>0.2023351813383846</v>
      </c>
      <c r="H112" s="4">
        <f t="shared" si="52"/>
        <v>-0.20571936751136319</v>
      </c>
      <c r="I112" s="4">
        <f t="shared" si="52"/>
        <v>-0.66233612334842384</v>
      </c>
      <c r="J112" s="4">
        <f t="shared" si="52"/>
        <v>-0.5120205608187286</v>
      </c>
      <c r="K112" s="4">
        <f t="shared" si="52"/>
        <v>-1.0360504738497802</v>
      </c>
      <c r="L112" s="4">
        <f t="shared" si="52"/>
        <v>-1.0404295756770112</v>
      </c>
      <c r="M112" s="4">
        <f t="shared" si="52"/>
        <v>-0.20400703793713182</v>
      </c>
      <c r="N112" s="4">
        <f t="shared" si="52"/>
        <v>-0.5103141246630869</v>
      </c>
    </row>
    <row r="113" spans="1:30">
      <c r="A113" s="4" t="s">
        <v>66</v>
      </c>
      <c r="B113" s="4">
        <f t="shared" ref="B113:N113" si="53">B46</f>
        <v>-0.24207152299216422</v>
      </c>
      <c r="C113" s="4">
        <f t="shared" si="53"/>
        <v>1.2028613706803286</v>
      </c>
      <c r="D113" s="4">
        <f t="shared" si="53"/>
        <v>-1.073581417089905</v>
      </c>
      <c r="E113" s="4">
        <f t="shared" si="53"/>
        <v>0.85369585151568939</v>
      </c>
      <c r="F113" s="4">
        <f t="shared" si="53"/>
        <v>1.4283246260117115</v>
      </c>
      <c r="G113" s="4">
        <f t="shared" si="53"/>
        <v>-0.16554696654958742</v>
      </c>
      <c r="H113" s="4">
        <f t="shared" si="53"/>
        <v>-0.76171765808261516</v>
      </c>
      <c r="I113" s="4">
        <f t="shared" si="53"/>
        <v>0.50374860085654749</v>
      </c>
      <c r="J113" s="4">
        <f t="shared" si="53"/>
        <v>1.093467638358641</v>
      </c>
      <c r="K113" s="4">
        <f t="shared" si="53"/>
        <v>-1.0934493920686046</v>
      </c>
      <c r="L113" s="4">
        <f t="shared" si="53"/>
        <v>-0.22786997497849512</v>
      </c>
      <c r="M113" s="4">
        <f t="shared" si="53"/>
        <v>0.57316263039480153</v>
      </c>
      <c r="N113" s="4">
        <f t="shared" si="53"/>
        <v>0.39870088882921845</v>
      </c>
    </row>
    <row r="114" spans="1:30">
      <c r="A114" s="4" t="s">
        <v>67</v>
      </c>
      <c r="B114" s="4">
        <f t="shared" ref="B114:N114" si="54">B47</f>
        <v>0.12563205623644072</v>
      </c>
      <c r="C114" s="4">
        <f t="shared" si="54"/>
        <v>9.0388426698521623E-2</v>
      </c>
      <c r="D114" s="4">
        <f t="shared" si="54"/>
        <v>-0.63538492031851512</v>
      </c>
      <c r="E114" s="4">
        <f t="shared" si="54"/>
        <v>-4.4931360606088974E-2</v>
      </c>
      <c r="F114" s="4">
        <f t="shared" si="54"/>
        <v>0.64056938960467191</v>
      </c>
      <c r="G114" s="4">
        <f t="shared" si="54"/>
        <v>-0.16554696654958742</v>
      </c>
      <c r="H114" s="4">
        <f t="shared" si="54"/>
        <v>-0.98411697431111589</v>
      </c>
      <c r="I114" s="4">
        <f t="shared" si="54"/>
        <v>-0.94219645715761691</v>
      </c>
      <c r="J114" s="4">
        <f t="shared" si="54"/>
        <v>0.13885303344236721</v>
      </c>
      <c r="K114" s="4">
        <f t="shared" si="54"/>
        <v>-1.2656461467250777</v>
      </c>
      <c r="L114" s="4">
        <f t="shared" si="54"/>
        <v>-1.6056884283368484</v>
      </c>
      <c r="M114" s="4">
        <f t="shared" si="54"/>
        <v>-0.62034793168638269</v>
      </c>
      <c r="N114" s="4">
        <f t="shared" si="54"/>
        <v>-1.0396140059370882</v>
      </c>
      <c r="O114" s="4"/>
    </row>
    <row r="115" spans="1:30" s="4" customFormat="1"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>
      <c r="A116" s="106" t="s">
        <v>463</v>
      </c>
      <c r="B116" s="106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</row>
    <row r="117" spans="1:30">
      <c r="A117" s="11" t="s">
        <v>462</v>
      </c>
      <c r="B117" s="11" t="s">
        <v>48</v>
      </c>
      <c r="C117" s="11" t="s">
        <v>49</v>
      </c>
      <c r="D117" s="11" t="s">
        <v>50</v>
      </c>
      <c r="E117" s="11" t="s">
        <v>51</v>
      </c>
      <c r="F117" s="11" t="s">
        <v>52</v>
      </c>
      <c r="G117" s="11" t="s">
        <v>53</v>
      </c>
      <c r="H117" s="11" t="s">
        <v>54</v>
      </c>
      <c r="I117" s="11" t="s">
        <v>55</v>
      </c>
      <c r="J117" s="11" t="s">
        <v>56</v>
      </c>
      <c r="K117" s="11" t="s">
        <v>57</v>
      </c>
      <c r="L117" s="11" t="s">
        <v>58</v>
      </c>
      <c r="M117" s="11" t="s">
        <v>59</v>
      </c>
      <c r="N117" s="11" t="s">
        <v>60</v>
      </c>
      <c r="O117" s="11" t="s">
        <v>61</v>
      </c>
      <c r="P117" s="11" t="s">
        <v>62</v>
      </c>
      <c r="Q117" s="11" t="s">
        <v>63</v>
      </c>
      <c r="R117" s="11" t="s">
        <v>64</v>
      </c>
      <c r="S117" s="11" t="s">
        <v>65</v>
      </c>
      <c r="T117" s="11" t="s">
        <v>66</v>
      </c>
      <c r="U117" s="11" t="s">
        <v>67</v>
      </c>
    </row>
    <row r="118" spans="1:30">
      <c r="A118" s="11" t="s">
        <v>11</v>
      </c>
      <c r="B118" s="85">
        <f t="array" ref="B118:U130">TRANSPOSE(B95:N114)</f>
        <v>0.61590349520791399</v>
      </c>
      <c r="C118" s="85">
        <v>0.67718742507934815</v>
      </c>
      <c r="D118" s="85">
        <v>-1.5290340502922815</v>
      </c>
      <c r="E118" s="85">
        <v>0.4320517055936115</v>
      </c>
      <c r="F118" s="85">
        <v>0.55461956533647983</v>
      </c>
      <c r="G118" s="85">
        <v>0.61590349520791399</v>
      </c>
      <c r="H118" s="85">
        <v>1.1674588640508214</v>
      </c>
      <c r="I118" s="85">
        <v>-0.91619475157793995</v>
      </c>
      <c r="J118" s="85">
        <v>1.6577303030222947</v>
      </c>
      <c r="K118" s="85">
        <v>0.79975528482221647</v>
      </c>
      <c r="L118" s="85">
        <v>-0.73234296196363746</v>
      </c>
      <c r="M118" s="85">
        <v>-1.4064661905494131</v>
      </c>
      <c r="N118" s="85">
        <v>0.79975528482221647</v>
      </c>
      <c r="O118" s="85">
        <v>-1.2226144009351108</v>
      </c>
      <c r="P118" s="85">
        <v>0.4320517055936115</v>
      </c>
      <c r="Q118" s="85">
        <v>0.73847135495078231</v>
      </c>
      <c r="R118" s="85">
        <v>-1.8354536996494524</v>
      </c>
      <c r="S118" s="85">
        <v>-0.73234296196363746</v>
      </c>
      <c r="T118" s="85">
        <v>-0.24207152299216422</v>
      </c>
      <c r="U118" s="85">
        <v>0.12563205623644072</v>
      </c>
    </row>
    <row r="119" spans="1:30">
      <c r="A119" s="11" t="s">
        <v>191</v>
      </c>
      <c r="B119" s="85">
        <v>0.64662489868942508</v>
      </c>
      <c r="C119" s="85">
        <v>1.4809796066757803</v>
      </c>
      <c r="D119" s="85">
        <v>-0.60490716329010774</v>
      </c>
      <c r="E119" s="85">
        <v>1.759097842671232</v>
      </c>
      <c r="F119" s="85">
        <v>-0.88302539928555945</v>
      </c>
      <c r="G119" s="85">
        <v>0.92474313468487679</v>
      </c>
      <c r="H119" s="85">
        <v>0.64662489868942508</v>
      </c>
      <c r="I119" s="85">
        <v>9.0388426698521623E-2</v>
      </c>
      <c r="J119" s="85">
        <v>0.78568401668715093</v>
      </c>
      <c r="K119" s="85">
        <v>-0.18772980929693012</v>
      </c>
      <c r="L119" s="85">
        <v>-0.7439662812878336</v>
      </c>
      <c r="M119" s="85">
        <v>-0.46584804529238188</v>
      </c>
      <c r="N119" s="85">
        <v>-4.8670691299204254E-2</v>
      </c>
      <c r="O119" s="85">
        <v>-0.32678892729465597</v>
      </c>
      <c r="P119" s="85">
        <v>-2.2736165792628182</v>
      </c>
      <c r="Q119" s="85">
        <v>-0.46584804529238188</v>
      </c>
      <c r="R119" s="85">
        <v>-1.5783209892741887</v>
      </c>
      <c r="S119" s="85">
        <v>-4.8670691299204254E-2</v>
      </c>
      <c r="T119" s="85">
        <v>1.2028613706803286</v>
      </c>
      <c r="U119" s="85">
        <v>9.0388426698521623E-2</v>
      </c>
    </row>
    <row r="120" spans="1:30">
      <c r="A120" s="11" t="s">
        <v>192</v>
      </c>
      <c r="B120" s="85">
        <v>-0.63538492031851512</v>
      </c>
      <c r="C120" s="85">
        <v>-0.19718842354712546</v>
      </c>
      <c r="D120" s="85">
        <v>0.67920456999565393</v>
      </c>
      <c r="E120" s="85">
        <v>-0.19718842354712546</v>
      </c>
      <c r="F120" s="85">
        <v>-0.19718842354712546</v>
      </c>
      <c r="G120" s="85">
        <v>0.24100807322426426</v>
      </c>
      <c r="H120" s="85">
        <v>-0.19718842354712546</v>
      </c>
      <c r="I120" s="85">
        <v>-0.63538492031851512</v>
      </c>
      <c r="J120" s="85">
        <v>0.67920456999565393</v>
      </c>
      <c r="K120" s="85">
        <v>0.24100807322426426</v>
      </c>
      <c r="L120" s="85">
        <v>0.67920456999565393</v>
      </c>
      <c r="M120" s="85">
        <v>-1.073581417089905</v>
      </c>
      <c r="N120" s="85">
        <v>2.4319905570812126</v>
      </c>
      <c r="O120" s="85">
        <v>-0.63538492031851512</v>
      </c>
      <c r="P120" s="85">
        <v>-1.073581417089905</v>
      </c>
      <c r="Q120" s="85">
        <v>2.4319905570812126</v>
      </c>
      <c r="R120" s="85">
        <v>-0.63538492031851512</v>
      </c>
      <c r="S120" s="85">
        <v>-0.19718842354712546</v>
      </c>
      <c r="T120" s="85">
        <v>-1.073581417089905</v>
      </c>
      <c r="U120" s="85">
        <v>-0.63538492031851512</v>
      </c>
    </row>
    <row r="121" spans="1:30">
      <c r="A121" s="11" t="s">
        <v>14</v>
      </c>
      <c r="B121" s="85">
        <v>-1.2703321044085139</v>
      </c>
      <c r="C121" s="85">
        <v>-4.4931360606088974E-2</v>
      </c>
      <c r="D121" s="85">
        <v>-1.4337188702488373</v>
      </c>
      <c r="E121" s="85">
        <v>0.28184217107455767</v>
      </c>
      <c r="F121" s="85">
        <v>-0.53509165812705894</v>
      </c>
      <c r="G121" s="85">
        <v>0.44522893691488102</v>
      </c>
      <c r="H121" s="85">
        <v>1.180469383196336</v>
      </c>
      <c r="I121" s="85">
        <v>1.3438561490366594</v>
      </c>
      <c r="J121" s="85">
        <v>-4.4931360606088974E-2</v>
      </c>
      <c r="K121" s="85">
        <v>-1.1886387214883523</v>
      </c>
      <c r="L121" s="85">
        <v>-0.94355857272786725</v>
      </c>
      <c r="M121" s="85">
        <v>-0.61678504104722065</v>
      </c>
      <c r="N121" s="85">
        <v>-1.5154122531689989</v>
      </c>
      <c r="O121" s="85">
        <v>-0.20831812644641232</v>
      </c>
      <c r="P121" s="85">
        <v>1.0987760002761744</v>
      </c>
      <c r="Q121" s="85">
        <v>0.52692231983504267</v>
      </c>
      <c r="R121" s="85">
        <v>2.0790965953181142</v>
      </c>
      <c r="S121" s="85">
        <v>3.676202231407269E-2</v>
      </c>
      <c r="T121" s="85">
        <v>0.85369585151568939</v>
      </c>
      <c r="U121" s="85">
        <v>-4.4931360606088974E-2</v>
      </c>
    </row>
    <row r="122" spans="1:30">
      <c r="A122" s="11" t="s">
        <v>15</v>
      </c>
      <c r="B122" s="85">
        <v>-1.0593234889578875</v>
      </c>
      <c r="C122" s="85">
        <v>-0.47887226213164769</v>
      </c>
      <c r="D122" s="85">
        <v>-1.7641571215326073</v>
      </c>
      <c r="E122" s="85">
        <v>0.39180457810771196</v>
      </c>
      <c r="F122" s="85">
        <v>1.8657360862272113E-2</v>
      </c>
      <c r="G122" s="85">
        <v>1.2624814183470716</v>
      </c>
      <c r="H122" s="85">
        <v>1.0551774087662718</v>
      </c>
      <c r="I122" s="85">
        <v>0.88933420110163175</v>
      </c>
      <c r="J122" s="85">
        <v>-0.39595065829932774</v>
      </c>
      <c r="K122" s="85">
        <v>-0.56179386596396763</v>
      </c>
      <c r="L122" s="85">
        <v>-1.1007842908740475</v>
      </c>
      <c r="M122" s="85">
        <v>-0.60325466788012772</v>
      </c>
      <c r="N122" s="85">
        <v>-1.7641571215326073</v>
      </c>
      <c r="O122" s="85">
        <v>-0.85201947937708755</v>
      </c>
      <c r="P122" s="85">
        <v>0.88933420110163175</v>
      </c>
      <c r="Q122" s="85">
        <v>0.88933420110163175</v>
      </c>
      <c r="R122" s="85">
        <v>0.97225580493395181</v>
      </c>
      <c r="S122" s="85">
        <v>0.14303976661075207</v>
      </c>
      <c r="T122" s="85">
        <v>1.4283246260117115</v>
      </c>
      <c r="U122" s="85">
        <v>0.64056938960467191</v>
      </c>
    </row>
    <row r="123" spans="1:30">
      <c r="A123" s="11" t="s">
        <v>16</v>
      </c>
      <c r="B123" s="85">
        <v>-0.60700554401515383</v>
      </c>
      <c r="C123" s="85">
        <v>-9.1970536971993005E-2</v>
      </c>
      <c r="D123" s="85">
        <v>-0.60700554401515383</v>
      </c>
      <c r="E123" s="85">
        <v>0.79094661795913979</v>
      </c>
      <c r="F123" s="85">
        <v>-0.68058197359274819</v>
      </c>
      <c r="G123" s="85">
        <v>0.42306447007116782</v>
      </c>
      <c r="H123" s="85">
        <v>1.3059816250023006</v>
      </c>
      <c r="I123" s="85">
        <v>0.5702173292263566</v>
      </c>
      <c r="J123" s="85">
        <v>1.5267109137350838</v>
      </c>
      <c r="K123" s="85">
        <v>-0.38627625528237064</v>
      </c>
      <c r="L123" s="85">
        <v>-0.97488769190312585</v>
      </c>
      <c r="M123" s="85">
        <v>-1.5634991285238811</v>
      </c>
      <c r="N123" s="85">
        <v>1.3795580545798951</v>
      </c>
      <c r="O123" s="85">
        <v>-1.1956169806359092</v>
      </c>
      <c r="P123" s="85">
        <v>-1.4163462693686923</v>
      </c>
      <c r="Q123" s="85">
        <v>1.894593061623056</v>
      </c>
      <c r="R123" s="85">
        <v>-0.23912339612718181</v>
      </c>
      <c r="S123" s="85">
        <v>0.2023351813383846</v>
      </c>
      <c r="T123" s="85">
        <v>-0.16554696654958742</v>
      </c>
      <c r="U123" s="85">
        <v>-0.16554696654958742</v>
      </c>
    </row>
    <row r="124" spans="1:30">
      <c r="A124" s="11" t="s">
        <v>17</v>
      </c>
      <c r="B124" s="85">
        <v>-0.53931834185411431</v>
      </c>
      <c r="C124" s="85">
        <v>1.239876187973892</v>
      </c>
      <c r="D124" s="85">
        <v>0.23907926494563839</v>
      </c>
      <c r="E124" s="85">
        <v>0.90627721363114078</v>
      </c>
      <c r="F124" s="85">
        <v>-0.53931834185411431</v>
      </c>
      <c r="G124" s="85">
        <v>-0.98411697431111589</v>
      </c>
      <c r="H124" s="85">
        <v>-0.53931834185411431</v>
      </c>
      <c r="I124" s="85">
        <v>0.12787960683138799</v>
      </c>
      <c r="J124" s="85">
        <v>1.7958744785451437</v>
      </c>
      <c r="K124" s="85">
        <v>0.68387789740263993</v>
      </c>
      <c r="L124" s="85">
        <v>-9.4519709397112794E-2</v>
      </c>
      <c r="M124" s="85">
        <v>-0.76171765808261516</v>
      </c>
      <c r="N124" s="85">
        <v>0.35027892305988878</v>
      </c>
      <c r="O124" s="85">
        <v>-0.76171765808261516</v>
      </c>
      <c r="P124" s="85">
        <v>-0.87291731619686552</v>
      </c>
      <c r="Q124" s="85">
        <v>2.5742720853448966</v>
      </c>
      <c r="R124" s="85">
        <v>-0.87291731619686552</v>
      </c>
      <c r="S124" s="85">
        <v>-0.20571936751136319</v>
      </c>
      <c r="T124" s="85">
        <v>-0.76171765808261516</v>
      </c>
      <c r="U124" s="85">
        <v>-0.98411697431111589</v>
      </c>
    </row>
    <row r="125" spans="1:30">
      <c r="A125" s="11" t="s">
        <v>18</v>
      </c>
      <c r="B125" s="85">
        <v>-0.80226629025302032</v>
      </c>
      <c r="C125" s="85">
        <v>-0.4757625674756284</v>
      </c>
      <c r="D125" s="85">
        <v>-0.1959022336664353</v>
      </c>
      <c r="E125" s="85">
        <v>-5.5972066761838753E-2</v>
      </c>
      <c r="F125" s="85">
        <v>0.78360893466574055</v>
      </c>
      <c r="G125" s="85">
        <v>2.1362672147435071</v>
      </c>
      <c r="H125" s="85">
        <v>1.2500428243477291</v>
      </c>
      <c r="I125" s="85">
        <v>-5.5972066761838753E-2</v>
      </c>
      <c r="J125" s="85">
        <v>1.2033994353795303</v>
      </c>
      <c r="K125" s="85">
        <v>0.31717504498375204</v>
      </c>
      <c r="L125" s="85">
        <v>-1.4086303468396053</v>
      </c>
      <c r="M125" s="85">
        <v>-1.7351340696169975</v>
      </c>
      <c r="N125" s="85">
        <v>0.22388826704735434</v>
      </c>
      <c r="O125" s="85">
        <v>-1.1287700130304124</v>
      </c>
      <c r="P125" s="85">
        <v>0.17724487807915551</v>
      </c>
      <c r="Q125" s="85">
        <v>-0.42911917850742953</v>
      </c>
      <c r="R125" s="85">
        <v>1.2966862133159278</v>
      </c>
      <c r="S125" s="85">
        <v>-0.66233612334842384</v>
      </c>
      <c r="T125" s="85">
        <v>0.50374860085654749</v>
      </c>
      <c r="U125" s="85">
        <v>-0.94219645715761691</v>
      </c>
    </row>
    <row r="126" spans="1:30">
      <c r="A126" s="11" t="s">
        <v>19</v>
      </c>
      <c r="B126" s="85">
        <v>-1.8137677493409201</v>
      </c>
      <c r="C126" s="85">
        <v>-0.7723699985231669</v>
      </c>
      <c r="D126" s="85">
        <v>-1.3364604468827832</v>
      </c>
      <c r="E126" s="85">
        <v>1.4839917949152985</v>
      </c>
      <c r="F126" s="85">
        <v>0.26902775229458636</v>
      </c>
      <c r="G126" s="85">
        <v>8.678314590148067E-3</v>
      </c>
      <c r="H126" s="85">
        <v>1.7877328055704766</v>
      </c>
      <c r="I126" s="85">
        <v>-0.902544717375386</v>
      </c>
      <c r="J126" s="85">
        <v>0.61616033590050412</v>
      </c>
      <c r="K126" s="85">
        <v>-0.598803706720208</v>
      </c>
      <c r="L126" s="85">
        <v>-1.076111009178345</v>
      </c>
      <c r="M126" s="85">
        <v>0.26902775229458636</v>
      </c>
      <c r="N126" s="85">
        <v>-0.64219527967094769</v>
      </c>
      <c r="O126" s="85">
        <v>-0.5120205608187286</v>
      </c>
      <c r="P126" s="85">
        <v>9.5461460491627501E-2</v>
      </c>
      <c r="Q126" s="85">
        <v>1.3104255031123397</v>
      </c>
      <c r="R126" s="85">
        <v>1.093467638358641</v>
      </c>
      <c r="S126" s="85">
        <v>-0.5120205608187286</v>
      </c>
      <c r="T126" s="85">
        <v>1.093467638358641</v>
      </c>
      <c r="U126" s="85">
        <v>0.13885303344236721</v>
      </c>
    </row>
    <row r="127" spans="1:30">
      <c r="A127" s="11" t="s">
        <v>20</v>
      </c>
      <c r="B127" s="85">
        <v>2.0634911099667343</v>
      </c>
      <c r="C127" s="85">
        <v>1.8338954370914369</v>
      </c>
      <c r="D127" s="85">
        <v>1.6616986824349635</v>
      </c>
      <c r="E127" s="85">
        <v>0.7433159909337731</v>
      </c>
      <c r="F127" s="85">
        <v>0.57111923627729999</v>
      </c>
      <c r="G127" s="85">
        <v>0.45632139983965431</v>
      </c>
      <c r="H127" s="85">
        <v>0.34152356340200551</v>
      </c>
      <c r="I127" s="85">
        <v>0.28412464518318109</v>
      </c>
      <c r="J127" s="85">
        <v>5.4528972307883498E-2</v>
      </c>
      <c r="K127" s="85">
        <v>-0.11766778234858971</v>
      </c>
      <c r="L127" s="85">
        <v>-0.11766778234858971</v>
      </c>
      <c r="M127" s="85">
        <v>-0.40466237344271172</v>
      </c>
      <c r="N127" s="85">
        <v>-0.57685912809918494</v>
      </c>
      <c r="O127" s="85">
        <v>-0.74905588275565815</v>
      </c>
      <c r="P127" s="85">
        <v>-0.80645480097448252</v>
      </c>
      <c r="Q127" s="85">
        <v>-0.80645480097448252</v>
      </c>
      <c r="R127" s="85">
        <v>-1.0360504738497802</v>
      </c>
      <c r="S127" s="85">
        <v>-1.0360504738497802</v>
      </c>
      <c r="T127" s="85">
        <v>-1.0934493920686046</v>
      </c>
      <c r="U127" s="85">
        <v>-1.2656461467250777</v>
      </c>
    </row>
    <row r="128" spans="1:30">
      <c r="A128" s="11" t="s">
        <v>21</v>
      </c>
      <c r="B128" s="85">
        <v>0.62001830401125879</v>
      </c>
      <c r="C128" s="85">
        <v>0.76133301717621815</v>
      </c>
      <c r="D128" s="85">
        <v>1.3619205481272951</v>
      </c>
      <c r="E128" s="85">
        <v>0.44337491255505962</v>
      </c>
      <c r="F128" s="85">
        <v>0.79666169546745791</v>
      </c>
      <c r="G128" s="85">
        <v>1.6798786527484537</v>
      </c>
      <c r="H128" s="85">
        <v>0.93797640863241727</v>
      </c>
      <c r="I128" s="85">
        <v>0.40804623426381981</v>
      </c>
      <c r="J128" s="85">
        <v>0.62001830401125879</v>
      </c>
      <c r="K128" s="85">
        <v>1.9430773060183669E-2</v>
      </c>
      <c r="L128" s="85">
        <v>-1.1110869322594907</v>
      </c>
      <c r="M128" s="85">
        <v>-1.6410171066280883</v>
      </c>
      <c r="N128" s="85">
        <v>-0.26319865326973496</v>
      </c>
      <c r="O128" s="85">
        <v>-1.1464156105507306</v>
      </c>
      <c r="P128" s="85">
        <v>-0.40451336643469427</v>
      </c>
      <c r="Q128" s="85">
        <v>-1.0757582539682511</v>
      </c>
      <c r="R128" s="85">
        <v>0.86731905204993753</v>
      </c>
      <c r="S128" s="85">
        <v>-1.0404295756770112</v>
      </c>
      <c r="T128" s="85">
        <v>-0.22786997497849512</v>
      </c>
      <c r="U128" s="85">
        <v>-1.6056884283368484</v>
      </c>
    </row>
    <row r="129" spans="1:21">
      <c r="A129" s="11" t="s">
        <v>22</v>
      </c>
      <c r="B129" s="85">
        <v>-0.70361611043623284</v>
      </c>
      <c r="C129" s="85">
        <v>0.75357701768614349</v>
      </c>
      <c r="D129" s="85">
        <v>-0.77300625939444123</v>
      </c>
      <c r="E129" s="85">
        <v>0.78133307726942691</v>
      </c>
      <c r="F129" s="85">
        <v>-0.67586005085294942</v>
      </c>
      <c r="G129" s="85">
        <v>0.67030883893629334</v>
      </c>
      <c r="H129" s="85">
        <v>1.045015643310619</v>
      </c>
      <c r="I129" s="85">
        <v>1.8499413712258375</v>
      </c>
      <c r="J129" s="85">
        <v>-0.19012900814549014</v>
      </c>
      <c r="K129" s="85">
        <v>-1.3697615404350334</v>
      </c>
      <c r="L129" s="85">
        <v>-0.95342064668578252</v>
      </c>
      <c r="M129" s="85">
        <v>-0.7174941402278745</v>
      </c>
      <c r="N129" s="85">
        <v>-1.5362978979347337</v>
      </c>
      <c r="O129" s="85">
        <v>-0.34278733585354876</v>
      </c>
      <c r="P129" s="85">
        <v>7.355355789570206E-2</v>
      </c>
      <c r="Q129" s="85">
        <v>0.17069976643719392</v>
      </c>
      <c r="R129" s="85">
        <v>2.1691360564335964</v>
      </c>
      <c r="S129" s="85">
        <v>-0.20400703793713182</v>
      </c>
      <c r="T129" s="85">
        <v>0.57316263039480153</v>
      </c>
      <c r="U129" s="85">
        <v>-0.62034793168638269</v>
      </c>
    </row>
    <row r="130" spans="1:21">
      <c r="A130" s="11" t="s">
        <v>23</v>
      </c>
      <c r="B130" s="85">
        <v>-0.38374241392365177</v>
      </c>
      <c r="C130" s="85">
        <v>0.8704681743125674</v>
      </c>
      <c r="D130" s="85">
        <v>-0.19963810739356436</v>
      </c>
      <c r="E130" s="85">
        <v>0.80142905936378461</v>
      </c>
      <c r="F130" s="85">
        <v>-0.30319677981673854</v>
      </c>
      <c r="G130" s="85">
        <v>1.1005985574751767</v>
      </c>
      <c r="H130" s="85">
        <v>1.1696376724239594</v>
      </c>
      <c r="I130" s="85">
        <v>1.6529114770654389</v>
      </c>
      <c r="J130" s="85">
        <v>4.1998794927175363E-2</v>
      </c>
      <c r="K130" s="85">
        <v>-1.131666159202132</v>
      </c>
      <c r="L130" s="85">
        <v>-1.1431726783602623</v>
      </c>
      <c r="M130" s="85">
        <v>-1.131666159202132</v>
      </c>
      <c r="N130" s="85">
        <v>-1.3617965423647398</v>
      </c>
      <c r="O130" s="85">
        <v>-0.64839235456065247</v>
      </c>
      <c r="P130" s="85">
        <v>-6.155987749599881E-2</v>
      </c>
      <c r="Q130" s="85">
        <v>-0.19963810739356436</v>
      </c>
      <c r="R130" s="85">
        <v>2.0786526859162646</v>
      </c>
      <c r="S130" s="85">
        <v>-0.5103141246630869</v>
      </c>
      <c r="T130" s="85">
        <v>0.39870088882921845</v>
      </c>
      <c r="U130" s="85">
        <v>-1.0396140059370882</v>
      </c>
    </row>
    <row r="132" spans="1:21">
      <c r="A132" s="106" t="s">
        <v>464</v>
      </c>
      <c r="B132" s="106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</row>
    <row r="133" spans="1:21">
      <c r="A133" s="4"/>
      <c r="B133" s="57" t="s">
        <v>11</v>
      </c>
      <c r="C133" s="57" t="s">
        <v>373</v>
      </c>
      <c r="D133" s="57" t="s">
        <v>374</v>
      </c>
      <c r="E133" s="57" t="s">
        <v>14</v>
      </c>
      <c r="F133" s="57" t="s">
        <v>15</v>
      </c>
      <c r="G133" s="57" t="s">
        <v>16</v>
      </c>
      <c r="H133" s="57" t="s">
        <v>17</v>
      </c>
      <c r="I133" s="57" t="s">
        <v>18</v>
      </c>
      <c r="J133" s="57" t="s">
        <v>19</v>
      </c>
      <c r="K133" s="57" t="s">
        <v>20</v>
      </c>
      <c r="L133" s="57" t="s">
        <v>21</v>
      </c>
      <c r="M133" s="57" t="s">
        <v>22</v>
      </c>
      <c r="N133" s="57" t="s">
        <v>23</v>
      </c>
    </row>
    <row r="134" spans="1:21">
      <c r="A134" s="57" t="s">
        <v>11</v>
      </c>
      <c r="B134" s="85">
        <f t="array" ref="B134:N146">MMULT(B118:U130,B28:N47)/19</f>
        <v>1</v>
      </c>
      <c r="C134" s="85">
        <v>0.41459964130007526</v>
      </c>
      <c r="D134" s="85">
        <v>0.3483298796062857</v>
      </c>
      <c r="E134" s="85">
        <v>-0.10472789823598268</v>
      </c>
      <c r="F134" s="85">
        <v>0.11374453841943369</v>
      </c>
      <c r="G134" s="85">
        <v>0.55348622511452239</v>
      </c>
      <c r="H134" s="85">
        <v>0.42604753800625023</v>
      </c>
      <c r="I134" s="85">
        <v>0.40127184231983476</v>
      </c>
      <c r="J134" s="85">
        <v>0.22670431910582661</v>
      </c>
      <c r="K134" s="85">
        <v>0.20829005632815184</v>
      </c>
      <c r="L134" s="85">
        <v>0.24288212019075459</v>
      </c>
      <c r="M134" s="85">
        <v>-0.17074015421274014</v>
      </c>
      <c r="N134" s="85">
        <v>-6.2115732745551024E-2</v>
      </c>
    </row>
    <row r="135" spans="1:21">
      <c r="A135" s="57" t="s">
        <v>373</v>
      </c>
      <c r="B135" s="85">
        <v>0.41459964130007526</v>
      </c>
      <c r="C135" s="85">
        <v>1.0000000000000009</v>
      </c>
      <c r="D135" s="85">
        <v>1.5554516263210796E-2</v>
      </c>
      <c r="E135" s="85">
        <v>-7.5844347893421468E-2</v>
      </c>
      <c r="F135" s="85">
        <v>7.0141890183891886E-2</v>
      </c>
      <c r="G135" s="85">
        <v>0.45570444036054991</v>
      </c>
      <c r="H135" s="85">
        <v>0.27756670850334286</v>
      </c>
      <c r="I135" s="85">
        <v>0.12037000398941038</v>
      </c>
      <c r="J135" s="85">
        <v>0.11667838659419245</v>
      </c>
      <c r="K135" s="85">
        <v>0.39978530712158827</v>
      </c>
      <c r="L135" s="85">
        <v>0.26964669711771327</v>
      </c>
      <c r="M135" s="85">
        <v>0.1512507540952592</v>
      </c>
      <c r="N135" s="85">
        <v>0.21193144438907843</v>
      </c>
    </row>
    <row r="136" spans="1:21">
      <c r="A136" s="57" t="s">
        <v>374</v>
      </c>
      <c r="B136" s="85">
        <v>0.3483298796062857</v>
      </c>
      <c r="C136" s="85">
        <v>1.5554516263210796E-2</v>
      </c>
      <c r="D136" s="85">
        <v>0.99999999999999978</v>
      </c>
      <c r="E136" s="85">
        <v>-0.37107198371991573</v>
      </c>
      <c r="F136" s="85">
        <v>-0.34801240256747912</v>
      </c>
      <c r="G136" s="85">
        <v>0.63421310342557702</v>
      </c>
      <c r="H136" s="85">
        <v>0.6676922483399127</v>
      </c>
      <c r="I136" s="85">
        <v>9.5955583799588143E-2</v>
      </c>
      <c r="J136" s="85">
        <v>-2.5218615182191657E-2</v>
      </c>
      <c r="K136" s="85">
        <v>1.2642191927509734E-2</v>
      </c>
      <c r="L136" s="85">
        <v>1.8699301331100659E-2</v>
      </c>
      <c r="M136" s="85">
        <v>-0.34448987025227168</v>
      </c>
      <c r="N136" s="85">
        <v>-0.27841770555024031</v>
      </c>
    </row>
    <row r="137" spans="1:21">
      <c r="A137" s="57" t="s">
        <v>14</v>
      </c>
      <c r="B137" s="85">
        <v>-0.10472789823598268</v>
      </c>
      <c r="C137" s="85">
        <v>-7.5844347893421468E-2</v>
      </c>
      <c r="D137" s="85">
        <v>-0.37107198371991573</v>
      </c>
      <c r="E137" s="85">
        <v>0.99999999999999967</v>
      </c>
      <c r="F137" s="85">
        <v>0.87421249778251942</v>
      </c>
      <c r="G137" s="85">
        <v>0.20950478942530984</v>
      </c>
      <c r="H137" s="85">
        <v>-0.14790636095903389</v>
      </c>
      <c r="I137" s="85">
        <v>0.43234639751916298</v>
      </c>
      <c r="J137" s="85">
        <v>0.63269161205071822</v>
      </c>
      <c r="K137" s="85">
        <v>-0.3708223654201887</v>
      </c>
      <c r="L137" s="85">
        <v>0.13717420963325377</v>
      </c>
      <c r="M137" s="85">
        <v>0.90194045370391074</v>
      </c>
      <c r="N137" s="85">
        <v>0.79213603593773063</v>
      </c>
    </row>
    <row r="138" spans="1:21">
      <c r="A138" s="57" t="s">
        <v>15</v>
      </c>
      <c r="B138" s="85">
        <v>0.11374453841943369</v>
      </c>
      <c r="C138" s="85">
        <v>7.0141890183891886E-2</v>
      </c>
      <c r="D138" s="85">
        <v>-0.34801240256747912</v>
      </c>
      <c r="E138" s="85">
        <v>0.87421249778251942</v>
      </c>
      <c r="F138" s="85">
        <v>0.99999999999999889</v>
      </c>
      <c r="G138" s="85">
        <v>0.24039040419727709</v>
      </c>
      <c r="H138" s="85">
        <v>-0.17795034942865146</v>
      </c>
      <c r="I138" s="85">
        <v>0.47103022523676957</v>
      </c>
      <c r="J138" s="85">
        <v>0.67920743339808409</v>
      </c>
      <c r="K138" s="85">
        <v>-0.38910440932546725</v>
      </c>
      <c r="L138" s="85">
        <v>8.7349527873384819E-2</v>
      </c>
      <c r="M138" s="85">
        <v>0.72019069152979254</v>
      </c>
      <c r="N138" s="85">
        <v>0.62516569785480558</v>
      </c>
    </row>
    <row r="139" spans="1:21">
      <c r="A139" s="57" t="s">
        <v>16</v>
      </c>
      <c r="B139" s="85">
        <v>0.55348622511452239</v>
      </c>
      <c r="C139" s="85">
        <v>0.45570444036054991</v>
      </c>
      <c r="D139" s="85">
        <v>0.63421310342557702</v>
      </c>
      <c r="E139" s="85">
        <v>0.20950478942530984</v>
      </c>
      <c r="F139" s="85">
        <v>0.24039040419727709</v>
      </c>
      <c r="G139" s="85">
        <v>1</v>
      </c>
      <c r="H139" s="85">
        <v>0.62256078510621238</v>
      </c>
      <c r="I139" s="85">
        <v>0.45264348333366522</v>
      </c>
      <c r="J139" s="85">
        <v>0.42646374816388316</v>
      </c>
      <c r="K139" s="85">
        <v>-2.161615399417403E-2</v>
      </c>
      <c r="L139" s="85">
        <v>0.24840970038526597</v>
      </c>
      <c r="M139" s="85">
        <v>0.25556955079691096</v>
      </c>
      <c r="N139" s="85">
        <v>0.29191287199794719</v>
      </c>
    </row>
    <row r="140" spans="1:21">
      <c r="A140" s="57" t="s">
        <v>17</v>
      </c>
      <c r="B140" s="85">
        <v>0.42604753800625023</v>
      </c>
      <c r="C140" s="85">
        <v>0.27756670850334286</v>
      </c>
      <c r="D140" s="85">
        <v>0.6676922483399127</v>
      </c>
      <c r="E140" s="85">
        <v>-0.14790636095903389</v>
      </c>
      <c r="F140" s="85">
        <v>-0.17795034942865146</v>
      </c>
      <c r="G140" s="85">
        <v>0.62256078510621238</v>
      </c>
      <c r="H140" s="85">
        <v>0.99999999999999978</v>
      </c>
      <c r="I140" s="85">
        <v>-2.1129095650908251E-2</v>
      </c>
      <c r="J140" s="85">
        <v>0.10752416988791114</v>
      </c>
      <c r="K140" s="85">
        <v>0.20295433792511608</v>
      </c>
      <c r="L140" s="85">
        <v>4.5147160132187419E-2</v>
      </c>
      <c r="M140" s="85">
        <v>-5.2949107915994963E-2</v>
      </c>
      <c r="N140" s="85">
        <v>-2.8213437972145271E-2</v>
      </c>
    </row>
    <row r="141" spans="1:21">
      <c r="A141" s="57" t="s">
        <v>18</v>
      </c>
      <c r="B141" s="85">
        <v>0.40127184231983476</v>
      </c>
      <c r="C141" s="85">
        <v>0.12037000398941038</v>
      </c>
      <c r="D141" s="85">
        <v>9.5955583799588143E-2</v>
      </c>
      <c r="E141" s="85">
        <v>0.43234639751916298</v>
      </c>
      <c r="F141" s="85">
        <v>0.47103022523676957</v>
      </c>
      <c r="G141" s="85">
        <v>0.45264348333366522</v>
      </c>
      <c r="H141" s="85">
        <v>-2.1129095650908251E-2</v>
      </c>
      <c r="I141" s="85">
        <v>1</v>
      </c>
      <c r="J141" s="85">
        <v>0.43064969815678333</v>
      </c>
      <c r="K141" s="85">
        <v>3.8862833841291924E-2</v>
      </c>
      <c r="L141" s="85">
        <v>0.74805419147716334</v>
      </c>
      <c r="M141" s="85">
        <v>0.42880411116318823</v>
      </c>
      <c r="N141" s="85">
        <v>0.59748043190575562</v>
      </c>
    </row>
    <row r="142" spans="1:21">
      <c r="A142" s="57" t="s">
        <v>19</v>
      </c>
      <c r="B142" s="85">
        <v>0.22670431910582661</v>
      </c>
      <c r="C142" s="85">
        <v>0.11667838659419245</v>
      </c>
      <c r="D142" s="85">
        <v>-2.5218615182191657E-2</v>
      </c>
      <c r="E142" s="85">
        <v>0.63269161205071822</v>
      </c>
      <c r="F142" s="85">
        <v>0.67920743339808409</v>
      </c>
      <c r="G142" s="85">
        <v>0.42646374816388316</v>
      </c>
      <c r="H142" s="85">
        <v>0.10752416988791114</v>
      </c>
      <c r="I142" s="85">
        <v>0.43064969815678333</v>
      </c>
      <c r="J142" s="85">
        <v>0.99999999999999867</v>
      </c>
      <c r="K142" s="85">
        <v>-0.42089014252335361</v>
      </c>
      <c r="L142" s="85">
        <v>5.470271435052995E-3</v>
      </c>
      <c r="M142" s="85">
        <v>0.46605667257450417</v>
      </c>
      <c r="N142" s="85">
        <v>0.3895323989677078</v>
      </c>
    </row>
    <row r="143" spans="1:21">
      <c r="A143" s="57" t="s">
        <v>20</v>
      </c>
      <c r="B143" s="85">
        <v>0.20829005632815184</v>
      </c>
      <c r="C143" s="85">
        <v>0.39978530712158827</v>
      </c>
      <c r="D143" s="85">
        <v>1.2642191927509734E-2</v>
      </c>
      <c r="E143" s="85">
        <v>-0.3708223654201887</v>
      </c>
      <c r="F143" s="85">
        <v>-0.38910440932546725</v>
      </c>
      <c r="G143" s="85">
        <v>-2.161615399417403E-2</v>
      </c>
      <c r="H143" s="85">
        <v>0.20295433792511608</v>
      </c>
      <c r="I143" s="85">
        <v>3.8862833841291924E-2</v>
      </c>
      <c r="J143" s="85">
        <v>-0.42089014252335361</v>
      </c>
      <c r="K143" s="85">
        <v>1.0000000000000002</v>
      </c>
      <c r="L143" s="85">
        <v>0.65355292816485222</v>
      </c>
      <c r="M143" s="85">
        <v>-1.8392702928175363E-2</v>
      </c>
      <c r="N143" s="85">
        <v>0.1963883019990865</v>
      </c>
    </row>
    <row r="144" spans="1:21">
      <c r="A144" s="57" t="s">
        <v>21</v>
      </c>
      <c r="B144" s="85">
        <v>0.24288212019075459</v>
      </c>
      <c r="C144" s="85">
        <v>0.26964669711771327</v>
      </c>
      <c r="D144" s="85">
        <v>1.8699301331100659E-2</v>
      </c>
      <c r="E144" s="85">
        <v>0.13717420963325377</v>
      </c>
      <c r="F144" s="85">
        <v>8.7349527873384819E-2</v>
      </c>
      <c r="G144" s="85">
        <v>0.24840970038526597</v>
      </c>
      <c r="H144" s="85">
        <v>4.5147160132187419E-2</v>
      </c>
      <c r="I144" s="85">
        <v>0.74805419147716334</v>
      </c>
      <c r="J144" s="85">
        <v>5.470271435052995E-3</v>
      </c>
      <c r="K144" s="85">
        <v>0.65355292816485222</v>
      </c>
      <c r="L144" s="85">
        <v>1.0000000000000002</v>
      </c>
      <c r="M144" s="85">
        <v>0.38889739071473112</v>
      </c>
      <c r="N144" s="85">
        <v>0.64589857066519674</v>
      </c>
    </row>
    <row r="145" spans="1:14">
      <c r="A145" s="57" t="s">
        <v>22</v>
      </c>
      <c r="B145" s="85">
        <v>-0.17074015421274014</v>
      </c>
      <c r="C145" s="85">
        <v>0.1512507540952592</v>
      </c>
      <c r="D145" s="85">
        <v>-0.34448987025227168</v>
      </c>
      <c r="E145" s="85">
        <v>0.90194045370391074</v>
      </c>
      <c r="F145" s="85">
        <v>0.72019069152979254</v>
      </c>
      <c r="G145" s="85">
        <v>0.25556955079691096</v>
      </c>
      <c r="H145" s="85">
        <v>-5.2949107915994963E-2</v>
      </c>
      <c r="I145" s="85">
        <v>0.42880411116318823</v>
      </c>
      <c r="J145" s="85">
        <v>0.46605667257450417</v>
      </c>
      <c r="K145" s="85">
        <v>-1.8392702928175363E-2</v>
      </c>
      <c r="L145" s="85">
        <v>0.38889739071473112</v>
      </c>
      <c r="M145" s="85">
        <v>0.99999999999998435</v>
      </c>
      <c r="N145" s="85">
        <v>0.9544969378588406</v>
      </c>
    </row>
    <row r="146" spans="1:14">
      <c r="A146" s="57" t="s">
        <v>23</v>
      </c>
      <c r="B146" s="85">
        <v>-6.2115732745551024E-2</v>
      </c>
      <c r="C146" s="85">
        <v>0.21193144438907843</v>
      </c>
      <c r="D146" s="85">
        <v>-0.27841770555024031</v>
      </c>
      <c r="E146" s="85">
        <v>0.79213603593773063</v>
      </c>
      <c r="F146" s="85">
        <v>0.62516569785480558</v>
      </c>
      <c r="G146" s="85">
        <v>0.29191287199794719</v>
      </c>
      <c r="H146" s="85">
        <v>-2.8213437972145271E-2</v>
      </c>
      <c r="I146" s="85">
        <v>0.59748043190575562</v>
      </c>
      <c r="J146" s="85">
        <v>0.3895323989677078</v>
      </c>
      <c r="K146" s="85">
        <v>0.1963883019990865</v>
      </c>
      <c r="L146" s="85">
        <v>0.64589857066519674</v>
      </c>
      <c r="M146" s="85">
        <v>0.9544969378588406</v>
      </c>
      <c r="N146" s="85">
        <v>0.99999999999999967</v>
      </c>
    </row>
  </sheetData>
  <mergeCells count="9">
    <mergeCell ref="A132:N132"/>
    <mergeCell ref="A116:U116"/>
    <mergeCell ref="A93:N93"/>
    <mergeCell ref="A26:N26"/>
    <mergeCell ref="P51:AC51"/>
    <mergeCell ref="A51:N51"/>
    <mergeCell ref="P76:AC76"/>
    <mergeCell ref="P32:AC32"/>
    <mergeCell ref="P26:AC26"/>
  </mergeCells>
  <phoneticPr fontId="1" type="noConversion"/>
  <conditionalFormatting sqref="Q78:AC90">
    <cfRule type="cellIs" dxfId="5" priority="1" operator="lessThanOrEqual">
      <formula>-0.5</formula>
    </cfRule>
    <cfRule type="cellIs" dxfId="4" priority="2" operator="greaterThanOrEqual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3"/>
  <sheetViews>
    <sheetView zoomScale="55" zoomScaleNormal="55" workbookViewId="0">
      <selection activeCell="D13" sqref="D13"/>
    </sheetView>
  </sheetViews>
  <sheetFormatPr defaultColWidth="5.19921875" defaultRowHeight="17.399999999999999"/>
  <cols>
    <col min="1" max="1" width="9.19921875" style="9" bestFit="1" customWidth="1"/>
    <col min="2" max="7" width="6.796875" style="9" bestFit="1" customWidth="1"/>
    <col min="8" max="8" width="7.296875" style="9" bestFit="1" customWidth="1"/>
    <col min="9" max="10" width="6.796875" style="9" bestFit="1" customWidth="1"/>
    <col min="11" max="11" width="7.296875" style="9" bestFit="1" customWidth="1"/>
    <col min="12" max="12" width="12.5" style="9" bestFit="1" customWidth="1"/>
    <col min="13" max="14" width="6.796875" style="9" bestFit="1" customWidth="1"/>
    <col min="15" max="21" width="5.19921875" style="9"/>
    <col min="22" max="22" width="9.19921875" style="9" bestFit="1" customWidth="1"/>
    <col min="23" max="28" width="6.796875" style="9" bestFit="1" customWidth="1"/>
    <col min="29" max="29" width="7.296875" style="9" bestFit="1" customWidth="1"/>
    <col min="30" max="31" width="6.796875" style="9" bestFit="1" customWidth="1"/>
    <col min="32" max="33" width="7.296875" style="9" bestFit="1" customWidth="1"/>
    <col min="34" max="35" width="6.796875" style="9" bestFit="1" customWidth="1"/>
    <col min="36" max="16384" width="5.19921875" style="9"/>
  </cols>
  <sheetData>
    <row r="1" spans="1:35">
      <c r="A1" s="9" t="s">
        <v>307</v>
      </c>
      <c r="B1" s="9" t="s">
        <v>263</v>
      </c>
      <c r="C1" s="9" t="s">
        <v>224</v>
      </c>
      <c r="L1" s="10"/>
      <c r="M1" s="10"/>
      <c r="N1" s="10"/>
      <c r="AG1" s="10"/>
      <c r="AH1" s="10"/>
      <c r="AI1" s="10"/>
    </row>
    <row r="2" spans="1:35">
      <c r="A2" s="9">
        <v>0.99999999999999989</v>
      </c>
      <c r="B2" s="9">
        <v>-0.93233761909487523</v>
      </c>
      <c r="C2" s="9">
        <v>0.40471087584412418</v>
      </c>
      <c r="L2" s="10"/>
      <c r="M2" s="10"/>
      <c r="N2" s="10"/>
      <c r="AG2" s="10"/>
      <c r="AH2" s="10"/>
      <c r="AI2" s="10"/>
    </row>
    <row r="3" spans="1:35">
      <c r="A3" s="9">
        <v>-0.93233761909487523</v>
      </c>
      <c r="B3" s="9">
        <v>1.0000000000000002</v>
      </c>
      <c r="C3" s="9">
        <v>-0.53889546234177332</v>
      </c>
      <c r="L3" s="10"/>
      <c r="M3" s="10"/>
      <c r="N3" s="10"/>
      <c r="AG3" s="10"/>
      <c r="AH3" s="10"/>
      <c r="AI3" s="10"/>
    </row>
    <row r="4" spans="1:35">
      <c r="A4" s="9">
        <v>0.40471087584412418</v>
      </c>
      <c r="B4" s="9">
        <v>-0.53889546234177332</v>
      </c>
      <c r="C4" s="9">
        <v>1.0000000000000002</v>
      </c>
      <c r="L4" s="10"/>
      <c r="M4" s="10"/>
      <c r="N4" s="10"/>
      <c r="AG4" s="10"/>
      <c r="AH4" s="10"/>
      <c r="AI4" s="10"/>
    </row>
    <row r="5" spans="1:35">
      <c r="L5" s="10"/>
      <c r="M5" s="10"/>
      <c r="N5" s="10"/>
      <c r="AG5" s="10"/>
      <c r="AH5" s="10"/>
      <c r="AI5" s="10"/>
    </row>
    <row r="6" spans="1:35">
      <c r="B6" s="9" t="s">
        <v>193</v>
      </c>
      <c r="C6" s="9" t="s">
        <v>194</v>
      </c>
      <c r="D6" s="9" t="s">
        <v>195</v>
      </c>
      <c r="L6" s="10"/>
      <c r="M6" s="10"/>
      <c r="N6" s="10"/>
      <c r="AG6" s="10"/>
      <c r="AH6" s="10"/>
      <c r="AI6" s="10"/>
    </row>
    <row r="7" spans="1:35">
      <c r="A7" s="9" t="s">
        <v>199</v>
      </c>
      <c r="B7" s="9">
        <v>2.2809865548276655</v>
      </c>
      <c r="C7" s="9">
        <v>0.6640682649739662</v>
      </c>
      <c r="D7" s="9">
        <v>5.4945180198368977E-2</v>
      </c>
    </row>
    <row r="9" spans="1:35">
      <c r="A9" s="9" t="s">
        <v>391</v>
      </c>
    </row>
    <row r="10" spans="1:35">
      <c r="B10" s="9" t="s">
        <v>193</v>
      </c>
      <c r="C10" s="9" t="s">
        <v>194</v>
      </c>
      <c r="D10" s="9" t="s">
        <v>195</v>
      </c>
    </row>
    <row r="11" spans="1:35">
      <c r="A11" s="9" t="s">
        <v>307</v>
      </c>
      <c r="B11" s="9">
        <v>-0.61254722012439455</v>
      </c>
      <c r="C11" s="9">
        <v>-0.42459393548240426</v>
      </c>
      <c r="D11" s="9">
        <v>0.66671275154255194</v>
      </c>
    </row>
    <row r="12" spans="1:35">
      <c r="A12" s="9" t="s">
        <v>263</v>
      </c>
      <c r="B12" s="9">
        <v>0.64061859198812876</v>
      </c>
      <c r="C12" s="9">
        <v>0.22742392684738075</v>
      </c>
      <c r="D12" s="9">
        <v>0.73340723823566456</v>
      </c>
    </row>
    <row r="13" spans="1:35">
      <c r="A13" s="9" t="s">
        <v>224</v>
      </c>
      <c r="B13" s="9">
        <v>-0.46302669762879134</v>
      </c>
      <c r="C13" s="9">
        <v>0.87635514915408641</v>
      </c>
      <c r="D13" s="9">
        <v>0.13269487493529941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input_Click">
                <anchor moveWithCells="1">
                  <from>
                    <xdr:col>13</xdr:col>
                    <xdr:colOff>320040</xdr:colOff>
                    <xdr:row>0</xdr:row>
                    <xdr:rowOff>114300</xdr:rowOff>
                  </from>
                  <to>
                    <xdr:col>18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zoomScale="55" zoomScaleNormal="55" workbookViewId="0">
      <selection activeCell="X21" sqref="X21"/>
    </sheetView>
  </sheetViews>
  <sheetFormatPr defaultRowHeight="17.399999999999999"/>
  <cols>
    <col min="1" max="1" width="10.69921875" style="3" bestFit="1" customWidth="1"/>
    <col min="2" max="2" width="10.09765625" style="3" bestFit="1" customWidth="1"/>
    <col min="3" max="7" width="8.796875" style="3"/>
    <col min="8" max="24" width="8.796875" style="2"/>
    <col min="25" max="27" width="14.296875" style="2" customWidth="1"/>
    <col min="28" max="16384" width="8.796875" style="2"/>
  </cols>
  <sheetData>
    <row r="1" spans="1:31">
      <c r="A1" s="107" t="s">
        <v>200</v>
      </c>
      <c r="B1" s="107"/>
      <c r="C1" s="107"/>
      <c r="E1" s="107" t="s">
        <v>201</v>
      </c>
      <c r="F1" s="107"/>
      <c r="G1" s="107"/>
      <c r="I1" s="107" t="s">
        <v>202</v>
      </c>
      <c r="J1" s="107"/>
      <c r="K1" s="107"/>
      <c r="M1" s="107" t="s">
        <v>203</v>
      </c>
      <c r="N1" s="107"/>
      <c r="O1" s="107"/>
      <c r="Q1" s="107" t="s">
        <v>204</v>
      </c>
      <c r="R1" s="107"/>
      <c r="U1" s="107" t="s">
        <v>205</v>
      </c>
      <c r="V1" s="107"/>
    </row>
    <row r="2" spans="1:31">
      <c r="B2" s="3" t="s">
        <v>206</v>
      </c>
      <c r="C2" s="3" t="s">
        <v>207</v>
      </c>
      <c r="F2" s="3" t="s">
        <v>206</v>
      </c>
      <c r="G2" s="3" t="s">
        <v>207</v>
      </c>
      <c r="J2" s="2" t="s">
        <v>206</v>
      </c>
      <c r="K2" s="2" t="s">
        <v>207</v>
      </c>
      <c r="L2" s="11"/>
      <c r="M2" s="3"/>
      <c r="N2" s="4" t="s">
        <v>193</v>
      </c>
      <c r="O2" s="4" t="s">
        <v>194</v>
      </c>
      <c r="P2" s="3"/>
      <c r="Q2" s="3"/>
      <c r="R2" s="4" t="s">
        <v>208</v>
      </c>
      <c r="U2" s="2" t="s">
        <v>209</v>
      </c>
      <c r="V2" s="85">
        <f>MAX(R3:R17)</f>
        <v>2.7792310326459071</v>
      </c>
      <c r="AC2" s="3"/>
      <c r="AD2" s="3"/>
      <c r="AE2" s="3"/>
    </row>
    <row r="3" spans="1:31">
      <c r="A3" s="3" t="s">
        <v>210</v>
      </c>
      <c r="B3" s="4">
        <v>25</v>
      </c>
      <c r="C3" s="3">
        <v>72</v>
      </c>
      <c r="E3" s="3" t="s">
        <v>210</v>
      </c>
      <c r="F3" s="85">
        <f t="shared" ref="F3:F17" si="0">(B3-B$18)/B$19</f>
        <v>0.4219749866406094</v>
      </c>
      <c r="G3" s="85">
        <f t="shared" ref="G3:G17" si="1">(C3-C$18)/C$19</f>
        <v>0.55455511967084081</v>
      </c>
      <c r="I3" s="3" t="s">
        <v>206</v>
      </c>
      <c r="J3" s="87">
        <f>CORREL(F3:F17,F3:F17)</f>
        <v>1</v>
      </c>
      <c r="K3" s="87">
        <f>CORREL(F3:F17,G3:G17)</f>
        <v>-0.76956694762113542</v>
      </c>
      <c r="L3" s="11"/>
      <c r="M3" s="3" t="s">
        <v>210</v>
      </c>
      <c r="N3" s="85">
        <f t="array" ref="N3:O17">MMULT(F3:G17,J17:K18)</f>
        <v>7.0474167398008769E-2</v>
      </c>
      <c r="O3" s="85">
        <v>1.4384615341294165</v>
      </c>
      <c r="P3" s="3"/>
      <c r="Q3" s="3" t="s">
        <v>210</v>
      </c>
      <c r="R3" s="85">
        <f>SUMSQ(N3:O3)/2</f>
        <v>1.0370690967201985</v>
      </c>
      <c r="S3" s="3"/>
      <c r="T3" s="3"/>
      <c r="U3" s="3" t="s">
        <v>211</v>
      </c>
      <c r="V3" s="85">
        <f>AVERAGE(R3:R17)</f>
        <v>1</v>
      </c>
      <c r="AC3" s="12"/>
      <c r="AD3" s="13"/>
      <c r="AE3" s="13"/>
    </row>
    <row r="4" spans="1:31">
      <c r="A4" s="3" t="s">
        <v>214</v>
      </c>
      <c r="B4" s="4">
        <v>23.9</v>
      </c>
      <c r="C4" s="3">
        <v>72</v>
      </c>
      <c r="E4" s="3" t="s">
        <v>214</v>
      </c>
      <c r="F4" s="85">
        <f t="shared" si="0"/>
        <v>-0.99896119286347951</v>
      </c>
      <c r="G4" s="85">
        <f t="shared" si="1"/>
        <v>0.55455511967084081</v>
      </c>
      <c r="I4" s="3" t="s">
        <v>207</v>
      </c>
      <c r="J4" s="87">
        <f>CORREL(G3:G17,F3:F17)</f>
        <v>-0.76956694762113542</v>
      </c>
      <c r="K4" s="87">
        <f>CORREL(G3:G17,G3:G17)</f>
        <v>1</v>
      </c>
      <c r="L4" s="11"/>
      <c r="M4" s="3" t="s">
        <v>214</v>
      </c>
      <c r="N4" s="85">
        <v>0.82578562988857707</v>
      </c>
      <c r="O4" s="85">
        <v>-0.65462502148113988</v>
      </c>
      <c r="P4" s="3"/>
      <c r="Q4" s="3" t="s">
        <v>214</v>
      </c>
      <c r="R4" s="85">
        <f t="shared" ref="R4:R17" si="2">SUMSQ(N4:O4)/2</f>
        <v>0.5552279126398284</v>
      </c>
      <c r="S4" s="3"/>
      <c r="T4" s="3"/>
      <c r="U4" s="3" t="s">
        <v>215</v>
      </c>
      <c r="V4" s="87">
        <f>_xlfn.STDEV.S(R3:R17)</f>
        <v>0.69541595492252095</v>
      </c>
      <c r="AC4" s="12"/>
      <c r="AD4" s="13"/>
      <c r="AE4" s="13"/>
    </row>
    <row r="5" spans="1:31">
      <c r="A5" s="3" t="s">
        <v>217</v>
      </c>
      <c r="B5" s="4">
        <v>23.2</v>
      </c>
      <c r="C5" s="3">
        <v>74</v>
      </c>
      <c r="E5" s="3" t="s">
        <v>217</v>
      </c>
      <c r="F5" s="85">
        <f t="shared" si="0"/>
        <v>-1.9031933070933522</v>
      </c>
      <c r="G5" s="85">
        <f t="shared" si="1"/>
        <v>1.3467767192006102</v>
      </c>
      <c r="H5" s="3"/>
      <c r="I5" s="3"/>
      <c r="J5" s="3"/>
      <c r="K5" s="3"/>
      <c r="L5" s="3"/>
      <c r="M5" s="3" t="s">
        <v>217</v>
      </c>
      <c r="N5" s="85">
        <v>1.7275509266484546</v>
      </c>
      <c r="O5" s="85">
        <v>-0.81962025897845536</v>
      </c>
      <c r="P5" s="3"/>
      <c r="Q5" s="3" t="s">
        <v>217</v>
      </c>
      <c r="R5" s="85">
        <f t="shared" si="2"/>
        <v>1.8281047865459223</v>
      </c>
      <c r="S5" s="3"/>
      <c r="T5" s="3"/>
      <c r="U5" s="3"/>
      <c r="V5" s="3"/>
      <c r="AC5" s="12"/>
      <c r="AD5" s="13"/>
      <c r="AE5" s="13"/>
    </row>
    <row r="6" spans="1:31">
      <c r="A6" s="3" t="s">
        <v>220</v>
      </c>
      <c r="B6" s="4">
        <v>24.7</v>
      </c>
      <c r="C6" s="3">
        <v>72</v>
      </c>
      <c r="E6" s="3" t="s">
        <v>220</v>
      </c>
      <c r="F6" s="85">
        <f t="shared" si="0"/>
        <v>3.4446937684948359E-2</v>
      </c>
      <c r="G6" s="85">
        <f t="shared" si="1"/>
        <v>0.55455511967084081</v>
      </c>
      <c r="H6" s="3"/>
      <c r="I6" s="107" t="s">
        <v>549</v>
      </c>
      <c r="J6" s="107"/>
      <c r="K6" s="107"/>
      <c r="L6" s="3"/>
      <c r="M6" s="3" t="s">
        <v>220</v>
      </c>
      <c r="N6" s="85">
        <v>0.27646820262270944</v>
      </c>
      <c r="O6" s="85">
        <v>0.86761974623562776</v>
      </c>
      <c r="P6" s="3"/>
      <c r="Q6" s="3" t="s">
        <v>220</v>
      </c>
      <c r="R6" s="85">
        <f t="shared" si="2"/>
        <v>0.41459934555970335</v>
      </c>
      <c r="S6" s="3"/>
      <c r="T6" s="3"/>
      <c r="U6" s="4"/>
      <c r="V6" s="3"/>
      <c r="AC6" s="12"/>
      <c r="AD6" s="13"/>
      <c r="AE6" s="13"/>
    </row>
    <row r="7" spans="1:31">
      <c r="A7" s="3" t="s">
        <v>222</v>
      </c>
      <c r="B7" s="4">
        <v>24.4</v>
      </c>
      <c r="C7" s="3">
        <v>73</v>
      </c>
      <c r="E7" s="3" t="s">
        <v>222</v>
      </c>
      <c r="F7" s="85">
        <f t="shared" si="0"/>
        <v>-0.35308111127071268</v>
      </c>
      <c r="G7" s="85">
        <f t="shared" si="1"/>
        <v>0.95066591943572543</v>
      </c>
      <c r="H7" s="3"/>
      <c r="I7" s="9"/>
      <c r="J7" s="9" t="s">
        <v>193</v>
      </c>
      <c r="K7" s="9" t="s">
        <v>194</v>
      </c>
      <c r="L7" s="3"/>
      <c r="M7" s="3" t="s">
        <v>222</v>
      </c>
      <c r="N7" s="85">
        <v>0.69301851179853213</v>
      </c>
      <c r="O7" s="85">
        <v>0.88026242546926603</v>
      </c>
      <c r="P7" s="3"/>
      <c r="Q7" s="3" t="s">
        <v>222</v>
      </c>
      <c r="R7" s="85">
        <f t="shared" si="2"/>
        <v>0.62756829769424372</v>
      </c>
      <c r="S7" s="3"/>
      <c r="T7" s="3"/>
      <c r="U7" s="3"/>
      <c r="V7" s="3"/>
    </row>
    <row r="8" spans="1:31">
      <c r="A8" s="3" t="s">
        <v>223</v>
      </c>
      <c r="B8" s="4">
        <v>24</v>
      </c>
      <c r="C8" s="3">
        <v>73</v>
      </c>
      <c r="E8" s="3" t="s">
        <v>223</v>
      </c>
      <c r="F8" s="85">
        <f t="shared" si="0"/>
        <v>-0.86978517654492438</v>
      </c>
      <c r="G8" s="85">
        <f t="shared" si="1"/>
        <v>0.95066591943572543</v>
      </c>
      <c r="I8" s="9" t="s">
        <v>224</v>
      </c>
      <c r="J8" s="86">
        <v>-0.70710678118654757</v>
      </c>
      <c r="K8" s="86">
        <v>0.70710678118654757</v>
      </c>
      <c r="M8" s="3" t="s">
        <v>223</v>
      </c>
      <c r="N8" s="85">
        <v>0.96767722543146473</v>
      </c>
      <c r="O8" s="85">
        <v>0.11914004161088565</v>
      </c>
      <c r="P8" s="3"/>
      <c r="Q8" s="3" t="s">
        <v>223</v>
      </c>
      <c r="R8" s="85">
        <f t="shared" si="2"/>
        <v>0.47529678106689072</v>
      </c>
      <c r="S8" s="3"/>
      <c r="T8" s="3"/>
      <c r="U8" s="3"/>
      <c r="V8" s="3"/>
      <c r="AD8" s="11"/>
      <c r="AE8" s="11"/>
    </row>
    <row r="9" spans="1:31">
      <c r="A9" s="3" t="s">
        <v>225</v>
      </c>
      <c r="B9" s="4">
        <v>24.6</v>
      </c>
      <c r="C9" s="3">
        <v>70</v>
      </c>
      <c r="E9" s="3" t="s">
        <v>225</v>
      </c>
      <c r="F9" s="85">
        <f t="shared" si="0"/>
        <v>-9.4729078633602262E-2</v>
      </c>
      <c r="G9" s="85">
        <f t="shared" si="1"/>
        <v>-0.23766647985892855</v>
      </c>
      <c r="I9" s="9" t="s">
        <v>207</v>
      </c>
      <c r="J9" s="86">
        <v>0.70710678118654757</v>
      </c>
      <c r="K9" s="86">
        <v>0.70710678118654757</v>
      </c>
      <c r="M9" s="3" t="s">
        <v>225</v>
      </c>
      <c r="N9" s="85">
        <v>-7.5979666871302753E-2</v>
      </c>
      <c r="O9" s="85">
        <v>-0.48962978398381785</v>
      </c>
      <c r="P9" s="3"/>
      <c r="Q9" s="3" t="s">
        <v>225</v>
      </c>
      <c r="R9" s="85">
        <f t="shared" si="2"/>
        <v>0.12275511757095714</v>
      </c>
      <c r="S9" s="3"/>
      <c r="T9" s="3"/>
      <c r="U9" s="3"/>
      <c r="V9" s="3"/>
      <c r="AD9" s="11"/>
      <c r="AE9" s="11"/>
    </row>
    <row r="10" spans="1:31">
      <c r="A10" s="3" t="s">
        <v>226</v>
      </c>
      <c r="B10" s="4">
        <v>24</v>
      </c>
      <c r="C10" s="3">
        <v>71</v>
      </c>
      <c r="E10" s="3" t="s">
        <v>226</v>
      </c>
      <c r="F10" s="85">
        <f t="shared" si="0"/>
        <v>-0.86978517654492438</v>
      </c>
      <c r="G10" s="85">
        <f t="shared" si="1"/>
        <v>0.15844431990595612</v>
      </c>
      <c r="M10" s="3" t="s">
        <v>226</v>
      </c>
      <c r="N10" s="85">
        <v>0.54656467752922067</v>
      </c>
      <c r="O10" s="85">
        <v>-1.0478288926439683</v>
      </c>
      <c r="P10" s="3"/>
      <c r="Q10" s="3" t="s">
        <v>226</v>
      </c>
      <c r="R10" s="85">
        <f t="shared" si="2"/>
        <v>0.69833916749105285</v>
      </c>
      <c r="S10" s="3"/>
      <c r="T10" s="3"/>
      <c r="U10" s="3"/>
      <c r="V10" s="3"/>
    </row>
    <row r="11" spans="1:31">
      <c r="A11" s="3" t="s">
        <v>227</v>
      </c>
      <c r="B11" s="4">
        <v>24.2</v>
      </c>
      <c r="C11" s="3">
        <v>70</v>
      </c>
      <c r="E11" s="3" t="s">
        <v>227</v>
      </c>
      <c r="F11" s="85">
        <f t="shared" si="0"/>
        <v>-0.61143314390781855</v>
      </c>
      <c r="G11" s="85">
        <f t="shared" si="1"/>
        <v>-0.23766647985892855</v>
      </c>
      <c r="I11" s="107" t="s">
        <v>548</v>
      </c>
      <c r="J11" s="107"/>
      <c r="K11" s="107"/>
      <c r="M11" s="3" t="s">
        <v>227</v>
      </c>
      <c r="N11" s="85">
        <v>0.19867904676163231</v>
      </c>
      <c r="O11" s="85">
        <v>-1.2507521678422051</v>
      </c>
      <c r="P11" s="3"/>
      <c r="Q11" s="3" t="s">
        <v>227</v>
      </c>
      <c r="R11" s="85">
        <f t="shared" si="2"/>
        <v>0.80192717449204332</v>
      </c>
      <c r="S11" s="3"/>
      <c r="T11" s="3"/>
      <c r="U11" s="3"/>
      <c r="V11" s="3"/>
    </row>
    <row r="12" spans="1:31">
      <c r="A12" s="3" t="s">
        <v>228</v>
      </c>
      <c r="B12" s="4">
        <v>25.2</v>
      </c>
      <c r="C12" s="3">
        <v>71</v>
      </c>
      <c r="E12" s="3" t="s">
        <v>228</v>
      </c>
      <c r="F12" s="85">
        <f t="shared" si="0"/>
        <v>0.68032701927771522</v>
      </c>
      <c r="G12" s="85">
        <f t="shared" si="1"/>
        <v>0.15844431990595612</v>
      </c>
      <c r="I12" s="9"/>
      <c r="J12" s="9" t="s">
        <v>193</v>
      </c>
      <c r="K12" s="9" t="s">
        <v>194</v>
      </c>
      <c r="M12" s="3" t="s">
        <v>228</v>
      </c>
      <c r="N12" s="85">
        <v>-0.27741146336957961</v>
      </c>
      <c r="O12" s="85">
        <v>1.2355382589311796</v>
      </c>
      <c r="P12" s="3"/>
      <c r="Q12" s="3" t="s">
        <v>228</v>
      </c>
      <c r="R12" s="85">
        <f t="shared" si="2"/>
        <v>0.80175595464577121</v>
      </c>
      <c r="S12" s="3"/>
      <c r="T12" s="3"/>
      <c r="U12" s="3"/>
      <c r="V12" s="3"/>
    </row>
    <row r="13" spans="1:31">
      <c r="A13" s="3" t="s">
        <v>229</v>
      </c>
      <c r="B13" s="4">
        <v>24.2</v>
      </c>
      <c r="C13" s="3">
        <v>73</v>
      </c>
      <c r="E13" s="3" t="s">
        <v>229</v>
      </c>
      <c r="F13" s="85">
        <f t="shared" si="0"/>
        <v>-0.61143314390781855</v>
      </c>
      <c r="G13" s="85">
        <f t="shared" si="1"/>
        <v>0.95066591943572543</v>
      </c>
      <c r="I13" s="9" t="s">
        <v>199</v>
      </c>
      <c r="J13" s="86">
        <v>1.7695669476211358</v>
      </c>
      <c r="K13" s="86">
        <v>0.23043305237886447</v>
      </c>
      <c r="M13" s="3" t="s">
        <v>229</v>
      </c>
      <c r="N13" s="85">
        <v>0.83034786861499854</v>
      </c>
      <c r="O13" s="85">
        <v>0.49970123354007578</v>
      </c>
      <c r="P13" s="3"/>
      <c r="Q13" s="3" t="s">
        <v>229</v>
      </c>
      <c r="R13" s="85">
        <f t="shared" si="2"/>
        <v>0.46958945285747211</v>
      </c>
      <c r="S13" s="3"/>
      <c r="T13" s="3"/>
      <c r="U13" s="3"/>
      <c r="V13" s="3"/>
    </row>
    <row r="14" spans="1:31">
      <c r="A14" s="3" t="s">
        <v>230</v>
      </c>
      <c r="B14" s="4">
        <v>25.6</v>
      </c>
      <c r="C14" s="3">
        <v>65</v>
      </c>
      <c r="E14" s="3" t="s">
        <v>230</v>
      </c>
      <c r="F14" s="85">
        <f t="shared" si="0"/>
        <v>1.1970310845519314</v>
      </c>
      <c r="G14" s="85">
        <f t="shared" si="1"/>
        <v>-2.2182204786833517</v>
      </c>
      <c r="M14" s="3" t="s">
        <v>230</v>
      </c>
      <c r="N14" s="85">
        <v>-1.8154078207092468</v>
      </c>
      <c r="O14" s="85">
        <v>-1.5042461599749948</v>
      </c>
      <c r="P14" s="3"/>
      <c r="Q14" s="3" t="s">
        <v>230</v>
      </c>
      <c r="R14" s="85">
        <f t="shared" si="2"/>
        <v>2.7792310326459071</v>
      </c>
      <c r="S14" s="3"/>
      <c r="T14" s="3"/>
      <c r="U14" s="3"/>
      <c r="V14" s="3"/>
      <c r="Z14" s="3"/>
    </row>
    <row r="15" spans="1:31">
      <c r="A15" s="3" t="s">
        <v>231</v>
      </c>
      <c r="B15" s="4">
        <v>25.9</v>
      </c>
      <c r="C15" s="3">
        <v>69</v>
      </c>
      <c r="E15" s="3" t="s">
        <v>231</v>
      </c>
      <c r="F15" s="85">
        <f t="shared" si="0"/>
        <v>1.5845591335075879</v>
      </c>
      <c r="G15" s="85">
        <f t="shared" si="1"/>
        <v>-0.63377727962381325</v>
      </c>
      <c r="I15" s="107" t="s">
        <v>232</v>
      </c>
      <c r="J15" s="107"/>
      <c r="K15" s="107"/>
      <c r="M15" s="3" t="s">
        <v>231</v>
      </c>
      <c r="N15" s="85">
        <v>-1.1791767601294572</v>
      </c>
      <c r="O15" s="85">
        <v>1.4005334964284948</v>
      </c>
      <c r="P15" s="3"/>
      <c r="Q15" s="3" t="s">
        <v>231</v>
      </c>
      <c r="R15" s="85">
        <f t="shared" si="2"/>
        <v>1.6759759531238139</v>
      </c>
      <c r="S15" s="3"/>
      <c r="T15" s="3"/>
      <c r="U15" s="3"/>
      <c r="V15" s="3"/>
      <c r="Y15" s="3"/>
      <c r="Z15" s="3"/>
    </row>
    <row r="16" spans="1:31">
      <c r="A16" s="3" t="s">
        <v>233</v>
      </c>
      <c r="B16" s="4">
        <v>25.2</v>
      </c>
      <c r="C16" s="3">
        <v>67</v>
      </c>
      <c r="E16" s="3" t="s">
        <v>233</v>
      </c>
      <c r="F16" s="85">
        <f t="shared" si="0"/>
        <v>0.68032701927771522</v>
      </c>
      <c r="G16" s="85">
        <f t="shared" si="1"/>
        <v>-1.4259988791535825</v>
      </c>
      <c r="J16" s="11" t="s">
        <v>193</v>
      </c>
      <c r="K16" s="11" t="s">
        <v>194</v>
      </c>
      <c r="M16" s="3" t="s">
        <v>233</v>
      </c>
      <c r="N16" s="85">
        <v>-1.1196365591740678</v>
      </c>
      <c r="O16" s="85">
        <v>-1.0983996095785282</v>
      </c>
      <c r="P16" s="3"/>
      <c r="Q16" s="3" t="s">
        <v>233</v>
      </c>
      <c r="R16" s="85">
        <f t="shared" si="2"/>
        <v>1.2300338634807044</v>
      </c>
      <c r="S16" s="3"/>
      <c r="T16" s="3"/>
      <c r="U16" s="3"/>
      <c r="V16" s="3"/>
      <c r="Y16" s="3"/>
      <c r="Z16" s="3"/>
    </row>
    <row r="17" spans="1:26">
      <c r="A17" s="3" t="s">
        <v>234</v>
      </c>
      <c r="B17" s="4">
        <v>26</v>
      </c>
      <c r="C17" s="3">
        <v>67</v>
      </c>
      <c r="E17" s="3" t="s">
        <v>234</v>
      </c>
      <c r="F17" s="85">
        <f t="shared" si="0"/>
        <v>1.7137351498261431</v>
      </c>
      <c r="G17" s="85">
        <f t="shared" si="1"/>
        <v>-1.4259988791535825</v>
      </c>
      <c r="I17" s="11" t="s">
        <v>224</v>
      </c>
      <c r="J17" s="85">
        <f>J8/SQRT(J$13)</f>
        <v>-0.53155903367466817</v>
      </c>
      <c r="K17" s="85">
        <f>K8/SQRT(K$13)</f>
        <v>1.4730334731437762</v>
      </c>
      <c r="M17" s="3" t="s">
        <v>234</v>
      </c>
      <c r="N17" s="85">
        <v>-1.6689539864399356</v>
      </c>
      <c r="O17" s="85">
        <v>0.42384515813823942</v>
      </c>
      <c r="P17" s="3"/>
      <c r="Q17" s="3" t="s">
        <v>234</v>
      </c>
      <c r="R17" s="85">
        <f t="shared" si="2"/>
        <v>1.4825260634654911</v>
      </c>
      <c r="S17" s="3"/>
      <c r="T17" s="3"/>
      <c r="U17" s="3"/>
      <c r="V17" s="3"/>
      <c r="Y17" s="3"/>
      <c r="Z17" s="3"/>
    </row>
    <row r="18" spans="1:26">
      <c r="A18" s="3" t="s">
        <v>211</v>
      </c>
      <c r="B18" s="85">
        <f>AVERAGE(B3:B17)</f>
        <v>24.673333333333332</v>
      </c>
      <c r="C18" s="87">
        <f>AVERAGE(C3:C17)</f>
        <v>70.599999999999994</v>
      </c>
      <c r="E18" s="3" t="s">
        <v>211</v>
      </c>
      <c r="F18" s="85">
        <f>AVERAGE(F3:F17)</f>
        <v>1.1990408665951691E-15</v>
      </c>
      <c r="G18" s="85">
        <f>AVERAGE(G3:G17)</f>
        <v>2.3092638912203257E-15</v>
      </c>
      <c r="I18" s="11" t="s">
        <v>207</v>
      </c>
      <c r="J18" s="85">
        <f>J9/SQRT(J$13)</f>
        <v>0.53155903367466817</v>
      </c>
      <c r="K18" s="85">
        <f>K9/SQRT(K$13)</f>
        <v>1.4730334731437762</v>
      </c>
      <c r="M18" s="3"/>
      <c r="N18" s="4"/>
      <c r="O18" s="4"/>
      <c r="P18" s="3"/>
      <c r="Q18" s="3"/>
      <c r="R18" s="4"/>
      <c r="S18" s="3"/>
      <c r="T18" s="3"/>
      <c r="U18" s="3"/>
      <c r="V18" s="3"/>
      <c r="Y18" s="3"/>
      <c r="Z18" s="3"/>
    </row>
    <row r="19" spans="1:26">
      <c r="A19" s="3" t="s">
        <v>215</v>
      </c>
      <c r="B19" s="85">
        <f>_xlfn.STDEV.P(B3:B17)</f>
        <v>0.77413751290638877</v>
      </c>
      <c r="C19" s="85">
        <f>_xlfn.STDEV.P(C3:C17)</f>
        <v>2.5245461638348652</v>
      </c>
      <c r="E19" s="3" t="s">
        <v>215</v>
      </c>
      <c r="F19" s="85">
        <f>_xlfn.STDEV.P(F3:F17)</f>
        <v>0.99999999999999989</v>
      </c>
      <c r="G19" s="85">
        <f>_xlfn.STDEV.P(G3:G17)</f>
        <v>0.99999999999999978</v>
      </c>
      <c r="M19" s="3"/>
      <c r="N19" s="4"/>
      <c r="O19" s="4"/>
      <c r="P19" s="3"/>
      <c r="Q19" s="3"/>
      <c r="R19" s="4"/>
      <c r="S19" s="3"/>
      <c r="T19" s="3"/>
      <c r="U19" s="3"/>
      <c r="V19" s="3"/>
      <c r="Y19" s="3"/>
      <c r="Z19" s="3"/>
    </row>
    <row r="20" spans="1:26">
      <c r="M20" s="4"/>
      <c r="N20" s="4"/>
      <c r="O20" s="4"/>
      <c r="P20" s="3"/>
      <c r="Q20" s="3"/>
      <c r="R20" s="4"/>
      <c r="S20" s="4"/>
      <c r="T20" s="4"/>
      <c r="U20" s="3"/>
      <c r="V20" s="3"/>
    </row>
    <row r="21" spans="1:26">
      <c r="A21" s="107" t="s">
        <v>466</v>
      </c>
      <c r="B21" s="107"/>
      <c r="C21" s="107"/>
      <c r="E21" s="107" t="s">
        <v>467</v>
      </c>
      <c r="F21" s="107"/>
      <c r="G21" s="107"/>
      <c r="M21" s="107" t="s">
        <v>203</v>
      </c>
      <c r="N21" s="107"/>
      <c r="O21" s="107"/>
      <c r="Q21" s="107" t="s">
        <v>204</v>
      </c>
      <c r="R21" s="107"/>
      <c r="S21" s="107"/>
      <c r="T21" s="3"/>
      <c r="U21" s="107" t="s">
        <v>467</v>
      </c>
      <c r="V21" s="107"/>
      <c r="W21" s="107"/>
    </row>
    <row r="22" spans="1:26">
      <c r="B22" s="3" t="s">
        <v>206</v>
      </c>
      <c r="C22" s="3" t="s">
        <v>207</v>
      </c>
      <c r="E22" s="4"/>
      <c r="F22" s="3" t="s">
        <v>206</v>
      </c>
      <c r="G22" s="3" t="s">
        <v>207</v>
      </c>
      <c r="M22" s="3"/>
      <c r="N22" s="4" t="s">
        <v>193</v>
      </c>
      <c r="O22" s="4" t="s">
        <v>194</v>
      </c>
      <c r="P22" s="3"/>
      <c r="Q22" s="3"/>
      <c r="R22" s="4" t="s">
        <v>208</v>
      </c>
      <c r="S22" s="4" t="s">
        <v>235</v>
      </c>
      <c r="T22" s="4"/>
      <c r="U22" s="4"/>
      <c r="V22" s="3" t="s">
        <v>206</v>
      </c>
      <c r="W22" s="3" t="s">
        <v>207</v>
      </c>
      <c r="X22" s="4" t="s">
        <v>470</v>
      </c>
      <c r="Y22" s="4" t="s">
        <v>471</v>
      </c>
    </row>
    <row r="23" spans="1:26">
      <c r="A23" s="12" t="s">
        <v>212</v>
      </c>
      <c r="B23" s="4">
        <v>23.3</v>
      </c>
      <c r="C23" s="4">
        <v>62</v>
      </c>
      <c r="E23" s="14" t="s">
        <v>236</v>
      </c>
      <c r="F23" s="85">
        <f t="shared" ref="F23:G26" si="3">(B23-B$18)/B$19</f>
        <v>-1.7740172907747971</v>
      </c>
      <c r="G23" s="85">
        <f t="shared" si="3"/>
        <v>-3.4065528779780059</v>
      </c>
      <c r="M23" s="14" t="s">
        <v>236</v>
      </c>
      <c r="N23" s="85">
        <f t="array" ref="N23:O23">MMULT(F23:G23,$J$17:$K$18)</f>
        <v>-0.86778903917324468</v>
      </c>
      <c r="O23" s="85">
        <v>-7.6311532685429802</v>
      </c>
      <c r="P23" s="3"/>
      <c r="Q23" s="14" t="s">
        <v>236</v>
      </c>
      <c r="R23" s="85">
        <f>SUMSQ(N23:O23)/2</f>
        <v>29.493779012251718</v>
      </c>
      <c r="S23" s="15" t="s">
        <v>213</v>
      </c>
      <c r="U23" s="14" t="s">
        <v>236</v>
      </c>
      <c r="V23" s="4">
        <f>F23</f>
        <v>-1.7740172907747971</v>
      </c>
      <c r="W23" s="4">
        <f t="shared" ref="W23:W26" si="4">G23</f>
        <v>-3.4065528779780059</v>
      </c>
      <c r="X23" s="15" t="s">
        <v>213</v>
      </c>
      <c r="Y23" s="2" t="s">
        <v>468</v>
      </c>
    </row>
    <row r="24" spans="1:26">
      <c r="A24" s="12" t="s">
        <v>216</v>
      </c>
      <c r="B24" s="4">
        <v>26.9</v>
      </c>
      <c r="C24" s="4">
        <v>77</v>
      </c>
      <c r="E24" s="14" t="s">
        <v>237</v>
      </c>
      <c r="F24" s="85">
        <f t="shared" si="3"/>
        <v>2.8763192966931217</v>
      </c>
      <c r="G24" s="85">
        <f t="shared" si="3"/>
        <v>2.5351091184952641</v>
      </c>
      <c r="L24" s="3"/>
      <c r="M24" s="14" t="s">
        <v>237</v>
      </c>
      <c r="N24" s="85">
        <f t="array" ref="N24:O24">MMULT(F24:G24,$J$17:$K$18)</f>
        <v>-0.18137335260281451</v>
      </c>
      <c r="O24" s="85">
        <v>7.9712151930938688</v>
      </c>
      <c r="P24" s="3"/>
      <c r="Q24" s="14" t="s">
        <v>237</v>
      </c>
      <c r="R24" s="85">
        <f>SUMSQ(N24:O24)/2</f>
        <v>31.786583973822452</v>
      </c>
      <c r="S24" s="15" t="s">
        <v>213</v>
      </c>
      <c r="T24" s="3"/>
      <c r="U24" s="14" t="s">
        <v>237</v>
      </c>
      <c r="V24" s="4">
        <f t="shared" ref="V24:V26" si="5">F24</f>
        <v>2.8763192966931217</v>
      </c>
      <c r="W24" s="4">
        <f t="shared" si="4"/>
        <v>2.5351091184952641</v>
      </c>
      <c r="X24" s="15" t="s">
        <v>213</v>
      </c>
      <c r="Y24" s="2" t="s">
        <v>468</v>
      </c>
    </row>
    <row r="25" spans="1:26">
      <c r="A25" s="12" t="s">
        <v>218</v>
      </c>
      <c r="B25" s="4">
        <v>25.1</v>
      </c>
      <c r="C25" s="4">
        <v>71</v>
      </c>
      <c r="E25" s="14" t="s">
        <v>238</v>
      </c>
      <c r="F25" s="85">
        <f t="shared" si="3"/>
        <v>0.55115100295916464</v>
      </c>
      <c r="G25" s="85">
        <f t="shared" si="3"/>
        <v>0.15844431990595612</v>
      </c>
      <c r="L25" s="3"/>
      <c r="M25" s="14" t="s">
        <v>238</v>
      </c>
      <c r="N25" s="85">
        <f t="array" ref="N25:O25">MMULT(F25:G25,$J$17:$K$18)</f>
        <v>-0.20874678496134769</v>
      </c>
      <c r="O25" s="85">
        <v>1.045257662966588</v>
      </c>
      <c r="P25" s="3"/>
      <c r="Q25" s="14" t="s">
        <v>238</v>
      </c>
      <c r="R25" s="85">
        <f>SUMSQ(N25:O25)/2</f>
        <v>0.5680694011110361</v>
      </c>
      <c r="S25" s="16" t="s">
        <v>219</v>
      </c>
      <c r="T25" s="3"/>
      <c r="U25" s="14" t="s">
        <v>238</v>
      </c>
      <c r="V25" s="4">
        <f t="shared" si="5"/>
        <v>0.55115100295916464</v>
      </c>
      <c r="W25" s="4">
        <f t="shared" si="4"/>
        <v>0.15844431990595612</v>
      </c>
      <c r="X25" s="16" t="s">
        <v>219</v>
      </c>
      <c r="Y25" s="3"/>
    </row>
    <row r="26" spans="1:26">
      <c r="A26" s="12" t="s">
        <v>221</v>
      </c>
      <c r="B26" s="4">
        <v>25.6</v>
      </c>
      <c r="C26" s="4">
        <v>73</v>
      </c>
      <c r="E26" s="14" t="s">
        <v>239</v>
      </c>
      <c r="F26" s="85">
        <f t="shared" si="3"/>
        <v>1.1970310845519314</v>
      </c>
      <c r="G26" s="85">
        <f t="shared" si="3"/>
        <v>0.95066591943572543</v>
      </c>
      <c r="L26" s="3"/>
      <c r="M26" s="14" t="s">
        <v>239</v>
      </c>
      <c r="N26" s="85">
        <f t="array" ref="N26:O26">MMULT(F26:G26,$J$17:$K$18)</f>
        <v>-0.13095762910027053</v>
      </c>
      <c r="O26" s="85">
        <v>3.1636295770444205</v>
      </c>
      <c r="P26" s="3"/>
      <c r="Q26" s="14" t="s">
        <v>239</v>
      </c>
      <c r="R26" s="85">
        <f>SUMSQ(N26:O26)/2</f>
        <v>5.0128510006849121</v>
      </c>
      <c r="S26" s="15" t="s">
        <v>213</v>
      </c>
      <c r="T26" s="3"/>
      <c r="U26" s="14" t="s">
        <v>239</v>
      </c>
      <c r="V26" s="4">
        <f t="shared" si="5"/>
        <v>1.1970310845519314</v>
      </c>
      <c r="W26" s="4">
        <f t="shared" si="4"/>
        <v>0.95066591943572543</v>
      </c>
      <c r="X26" s="15" t="s">
        <v>213</v>
      </c>
      <c r="Y26" s="3" t="s">
        <v>469</v>
      </c>
    </row>
    <row r="27" spans="1:26">
      <c r="L27" s="3"/>
      <c r="S27" s="3"/>
      <c r="T27" s="3"/>
      <c r="U27" s="3"/>
    </row>
    <row r="28" spans="1:26">
      <c r="E28" s="3" t="s">
        <v>43</v>
      </c>
      <c r="F28" s="85">
        <f>AVERAGE(F23:F26)</f>
        <v>0.71262102335735511</v>
      </c>
      <c r="G28" s="85">
        <f>AVERAGE(G23:G26)</f>
        <v>5.9416619964734935E-2</v>
      </c>
      <c r="L28" s="3"/>
      <c r="S28" s="3"/>
      <c r="T28" s="3"/>
      <c r="U28" s="3"/>
    </row>
    <row r="29" spans="1:26">
      <c r="E29" s="3" t="s">
        <v>135</v>
      </c>
      <c r="F29" s="85">
        <f>_xlfn.STDEV.P(F23:F26)</f>
        <v>1.6677594249636316</v>
      </c>
      <c r="G29" s="85">
        <f>_xlfn.STDEV.P(G23:G26)</f>
        <v>2.1763576054449882</v>
      </c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6">
      <c r="A30" s="12"/>
      <c r="B30" s="14"/>
      <c r="C30" s="14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6">
      <c r="B31" s="4"/>
      <c r="C31" s="4"/>
      <c r="F31" s="4"/>
      <c r="G31" s="4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6">
      <c r="B32" s="4"/>
      <c r="C32" s="4"/>
      <c r="F32" s="4"/>
      <c r="G32" s="4"/>
    </row>
    <row r="35" spans="1:1">
      <c r="A35" s="17"/>
    </row>
  </sheetData>
  <mergeCells count="14">
    <mergeCell ref="U1:V1"/>
    <mergeCell ref="U21:W21"/>
    <mergeCell ref="M21:O21"/>
    <mergeCell ref="Q21:S21"/>
    <mergeCell ref="A1:C1"/>
    <mergeCell ref="E1:G1"/>
    <mergeCell ref="I1:K1"/>
    <mergeCell ref="M1:O1"/>
    <mergeCell ref="Q1:R1"/>
    <mergeCell ref="I6:K6"/>
    <mergeCell ref="I11:K11"/>
    <mergeCell ref="I15:K15"/>
    <mergeCell ref="A21:C21"/>
    <mergeCell ref="E21:G21"/>
  </mergeCells>
  <phoneticPr fontId="1" type="noConversion"/>
  <conditionalFormatting sqref="V23:W26">
    <cfRule type="cellIs" dxfId="3" priority="7" operator="greaterThan">
      <formula>$F$32</formula>
    </cfRule>
    <cfRule type="cellIs" dxfId="2" priority="8" operator="lessThan">
      <formula>$F$31</formula>
    </cfRule>
  </conditionalFormatting>
  <conditionalFormatting sqref="W23:W26">
    <cfRule type="cellIs" dxfId="1" priority="5" operator="greaterThan">
      <formula>$G$32</formula>
    </cfRule>
    <cfRule type="cellIs" dxfId="0" priority="6" operator="lessThan">
      <formula>$G$31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29"/>
  <sheetViews>
    <sheetView zoomScale="55" zoomScaleNormal="55" workbookViewId="0">
      <selection activeCell="BB37" sqref="A37:BB40"/>
    </sheetView>
  </sheetViews>
  <sheetFormatPr defaultRowHeight="17.399999999999999"/>
  <cols>
    <col min="1" max="5" width="8.796875" style="67"/>
    <col min="6" max="33" width="8.796875" style="67" customWidth="1"/>
    <col min="34" max="47" width="8.796875" style="67"/>
    <col min="48" max="48" width="10.19921875" style="67" bestFit="1" customWidth="1"/>
    <col min="49" max="49" width="9.8984375" style="67" bestFit="1" customWidth="1"/>
    <col min="50" max="50" width="8.796875" style="67"/>
    <col min="51" max="51" width="14.296875" style="67" bestFit="1" customWidth="1"/>
    <col min="52" max="52" width="9.8984375" style="67" bestFit="1" customWidth="1"/>
    <col min="53" max="53" width="8.796875" style="67"/>
    <col min="54" max="56" width="9.19921875" style="67" bestFit="1" customWidth="1"/>
    <col min="57" max="57" width="6.796875" style="67" bestFit="1" customWidth="1"/>
    <col min="58" max="58" width="16.796875" style="67" bestFit="1" customWidth="1"/>
    <col min="59" max="16384" width="8.796875" style="67"/>
  </cols>
  <sheetData>
    <row r="1" spans="1:58">
      <c r="B1" s="106" t="s">
        <v>482</v>
      </c>
      <c r="C1" s="106"/>
      <c r="D1" s="106"/>
      <c r="E1" s="106"/>
      <c r="G1" s="106" t="s">
        <v>240</v>
      </c>
      <c r="H1" s="106"/>
      <c r="I1" s="106"/>
      <c r="W1" s="106" t="s">
        <v>242</v>
      </c>
      <c r="X1" s="106"/>
      <c r="Y1" s="106"/>
      <c r="AD1" s="106" t="s">
        <v>550</v>
      </c>
      <c r="AE1" s="106"/>
      <c r="AF1" s="106"/>
      <c r="AG1" s="106"/>
      <c r="AI1" s="106" t="s">
        <v>467</v>
      </c>
      <c r="AJ1" s="106"/>
      <c r="AK1" s="106"/>
      <c r="AM1" s="106" t="s">
        <v>242</v>
      </c>
      <c r="AN1" s="106"/>
      <c r="AO1" s="106"/>
    </row>
    <row r="2" spans="1:58">
      <c r="B2" s="67" t="s">
        <v>474</v>
      </c>
      <c r="C2" s="67" t="s">
        <v>475</v>
      </c>
      <c r="D2" s="67" t="s">
        <v>476</v>
      </c>
      <c r="E2" s="67" t="s">
        <v>472</v>
      </c>
      <c r="G2" s="67" t="s">
        <v>474</v>
      </c>
      <c r="H2" s="67" t="s">
        <v>475</v>
      </c>
      <c r="I2" s="67" t="s">
        <v>476</v>
      </c>
      <c r="K2" s="106" t="s">
        <v>484</v>
      </c>
      <c r="L2" s="106"/>
      <c r="M2" s="106"/>
      <c r="N2" s="106"/>
      <c r="O2" s="106"/>
      <c r="P2" s="106"/>
      <c r="Q2" s="106"/>
      <c r="R2" s="106"/>
      <c r="S2" s="106"/>
      <c r="T2" s="106"/>
      <c r="U2" s="106"/>
      <c r="W2" s="67" t="s">
        <v>474</v>
      </c>
      <c r="X2" s="67" t="s">
        <v>475</v>
      </c>
      <c r="Y2" s="67" t="s">
        <v>476</v>
      </c>
      <c r="AA2" s="68" t="s">
        <v>243</v>
      </c>
      <c r="AB2" s="66" t="s">
        <v>493</v>
      </c>
      <c r="AD2" s="67" t="s">
        <v>474</v>
      </c>
      <c r="AE2" s="67" t="s">
        <v>475</v>
      </c>
      <c r="AF2" s="67" t="s">
        <v>476</v>
      </c>
      <c r="AG2" s="67" t="s">
        <v>473</v>
      </c>
      <c r="AI2" s="67" t="s">
        <v>474</v>
      </c>
      <c r="AJ2" s="67" t="s">
        <v>475</v>
      </c>
      <c r="AK2" s="67" t="s">
        <v>476</v>
      </c>
      <c r="AM2" s="67" t="s">
        <v>474</v>
      </c>
      <c r="AN2" s="67" t="s">
        <v>475</v>
      </c>
      <c r="AO2" s="67" t="s">
        <v>476</v>
      </c>
      <c r="AQ2" s="68" t="s">
        <v>243</v>
      </c>
      <c r="AR2" s="66" t="s">
        <v>494</v>
      </c>
      <c r="AS2" s="69" t="s">
        <v>492</v>
      </c>
      <c r="AV2" s="68" t="s">
        <v>495</v>
      </c>
      <c r="AW2" s="55" t="s">
        <v>496</v>
      </c>
      <c r="AX2" s="71"/>
      <c r="AY2" s="68" t="s">
        <v>497</v>
      </c>
      <c r="AZ2" s="55" t="s">
        <v>496</v>
      </c>
    </row>
    <row r="3" spans="1:58">
      <c r="B3" s="67">
        <v>5.0999999999999996</v>
      </c>
      <c r="C3" s="67">
        <v>3.5</v>
      </c>
      <c r="D3" s="67">
        <v>1.4</v>
      </c>
      <c r="E3" s="67" t="s">
        <v>477</v>
      </c>
      <c r="G3" s="88">
        <f>(B3-B$13)/B$14</f>
        <v>0.86828952635090662</v>
      </c>
      <c r="H3" s="88">
        <f t="shared" ref="H3:H12" si="0">(C3-C$13)/C$14</f>
        <v>0.65207831190185261</v>
      </c>
      <c r="I3" s="88">
        <f t="shared" ref="I3:I12" si="1">(D3-D$13)/D$14</f>
        <v>-0.48795003647426699</v>
      </c>
      <c r="K3" s="67" t="s">
        <v>474</v>
      </c>
      <c r="L3" s="88">
        <f t="array" ref="L3:U5">TRANSPOSE(G3:I12)</f>
        <v>0.86828952635090662</v>
      </c>
      <c r="M3" s="88">
        <v>0.14471492105848766</v>
      </c>
      <c r="N3" s="88">
        <v>-0.57885968423393452</v>
      </c>
      <c r="O3" s="88">
        <v>-0.94064698688014725</v>
      </c>
      <c r="P3" s="88">
        <v>0.50650222370469711</v>
      </c>
      <c r="Q3" s="88">
        <v>1.9536514342895415</v>
      </c>
      <c r="R3" s="88">
        <v>-0.94064698688014725</v>
      </c>
      <c r="S3" s="88">
        <v>0.50650222370469711</v>
      </c>
      <c r="T3" s="88">
        <v>-1.6642215921725663</v>
      </c>
      <c r="U3" s="88">
        <v>0.14471492105848766</v>
      </c>
      <c r="W3" s="88">
        <f t="array" ref="W3:Y3">MMULT(G3:I3,$R$9:$T$11)</f>
        <v>1.7319526166065908</v>
      </c>
      <c r="X3" s="88">
        <v>0.11178109169565596</v>
      </c>
      <c r="Y3" s="88">
        <v>-1.5855256300269973</v>
      </c>
      <c r="AA3" s="88">
        <f>MMULT(W3:Y3,L3:L5)</f>
        <v>2.3503836317135582</v>
      </c>
      <c r="AB3" s="88">
        <f>AA3/3</f>
        <v>0.78346121057118612</v>
      </c>
      <c r="AD3" s="67">
        <v>5.4</v>
      </c>
      <c r="AE3" s="67">
        <v>3.7</v>
      </c>
      <c r="AF3" s="67">
        <v>1.5</v>
      </c>
      <c r="AG3" s="67" t="s">
        <v>477</v>
      </c>
      <c r="AI3" s="88">
        <f>(AD3-B$13)/B$14</f>
        <v>1.9536514342895415</v>
      </c>
      <c r="AJ3" s="88">
        <f t="shared" ref="AJ3:AJ11" si="2">(AE3-C$13)/C$14</f>
        <v>1.3384765349564334</v>
      </c>
      <c r="AK3" s="88">
        <f t="shared" ref="AK3:AK11" si="3">(AF3-D$13)/D$14</f>
        <v>0.48795003647426699</v>
      </c>
      <c r="AM3" s="88">
        <f t="array" ref="AM3:AO3">MMULT(AI3:AK3,$R$9:$T$11)</f>
        <v>2.8909638622774407</v>
      </c>
      <c r="AN3" s="88">
        <v>-0.3967341603674287</v>
      </c>
      <c r="AO3" s="88">
        <v>-1.0412928655604317</v>
      </c>
      <c r="AQ3" s="88">
        <f>SUMPRODUCT(AI3:AK3,AM3:AO3)</f>
        <v>4.6088174400195019</v>
      </c>
      <c r="AR3" s="88">
        <f>AQ3/3</f>
        <v>1.5362724800065006</v>
      </c>
      <c r="AS3" s="67" t="s">
        <v>486</v>
      </c>
      <c r="AV3" s="71">
        <v>1.5362724800065006</v>
      </c>
      <c r="AW3" s="71" t="s">
        <v>477</v>
      </c>
      <c r="AX3" s="71"/>
      <c r="AY3" s="71">
        <v>90.245482022909471</v>
      </c>
      <c r="AZ3" s="71" t="s">
        <v>490</v>
      </c>
      <c r="BB3" s="69" t="s">
        <v>474</v>
      </c>
      <c r="BC3" s="69" t="s">
        <v>475</v>
      </c>
      <c r="BD3" s="69" t="s">
        <v>476</v>
      </c>
      <c r="BE3" s="69" t="s">
        <v>473</v>
      </c>
      <c r="BF3" s="69" t="s">
        <v>498</v>
      </c>
    </row>
    <row r="4" spans="1:58">
      <c r="B4" s="67">
        <v>4.9000000000000004</v>
      </c>
      <c r="C4" s="67">
        <v>3</v>
      </c>
      <c r="D4" s="67">
        <v>1.4</v>
      </c>
      <c r="E4" s="67" t="s">
        <v>477</v>
      </c>
      <c r="G4" s="88">
        <f t="shared" ref="G4:G12" si="4">(B4-B$13)/B$14</f>
        <v>0.14471492105848766</v>
      </c>
      <c r="H4" s="88">
        <f t="shared" si="0"/>
        <v>-1.063917245734598</v>
      </c>
      <c r="I4" s="88">
        <f t="shared" si="1"/>
        <v>-0.48795003647426699</v>
      </c>
      <c r="K4" s="67" t="s">
        <v>475</v>
      </c>
      <c r="L4" s="88">
        <v>0.65207831190185261</v>
      </c>
      <c r="M4" s="88">
        <v>-1.063917245734598</v>
      </c>
      <c r="N4" s="88">
        <v>-0.37751902268001719</v>
      </c>
      <c r="O4" s="88">
        <v>-0.72071813420730757</v>
      </c>
      <c r="P4" s="88">
        <v>0.99527742342914294</v>
      </c>
      <c r="Q4" s="88">
        <v>2.0248747580110127</v>
      </c>
      <c r="R4" s="88">
        <v>0.30887920037456212</v>
      </c>
      <c r="S4" s="88">
        <v>0.30887920037456212</v>
      </c>
      <c r="T4" s="88">
        <v>-1.4071163572618886</v>
      </c>
      <c r="U4" s="88">
        <v>-0.72071813420730757</v>
      </c>
      <c r="W4" s="88">
        <f t="array" ref="W4:Y4">MMULT(G4:I4,$R$9:$T$11)</f>
        <v>2.9246266925321849</v>
      </c>
      <c r="X4" s="88">
        <v>-3.013831148479944</v>
      </c>
      <c r="Y4" s="88">
        <v>-0.6787622118628005</v>
      </c>
      <c r="AA4" s="88">
        <f>MMULT(W4:Y4,M3:M5)</f>
        <v>3.9609061015710711</v>
      </c>
      <c r="AB4" s="88">
        <f t="shared" ref="AB4:AB12" si="5">AA4/3</f>
        <v>1.3203020338570237</v>
      </c>
      <c r="AD4" s="67">
        <v>4.8</v>
      </c>
      <c r="AE4" s="67">
        <v>3.4</v>
      </c>
      <c r="AF4" s="67">
        <v>1.6</v>
      </c>
      <c r="AG4" s="67" t="s">
        <v>477</v>
      </c>
      <c r="AI4" s="88">
        <f t="shared" ref="AI4:AI11" si="6">(AD4-B$13)/B$14</f>
        <v>-0.21707238158772504</v>
      </c>
      <c r="AJ4" s="88">
        <f t="shared" si="2"/>
        <v>0.30887920037456212</v>
      </c>
      <c r="AK4" s="88">
        <f t="shared" si="3"/>
        <v>1.4638501094228009</v>
      </c>
      <c r="AM4" s="88">
        <f t="array" ref="AM4:AO4">MMULT(AI4:AK4,$R$9:$T$11)</f>
        <v>-2.4297830877874373</v>
      </c>
      <c r="AN4" s="88">
        <v>0.96451113405963507</v>
      </c>
      <c r="AO4" s="88">
        <v>2.4215300531321393</v>
      </c>
      <c r="AQ4" s="88">
        <f t="shared" ref="AQ4:AQ11" si="7">SUMPRODUCT(AI4:AK4,AM4:AO4)</f>
        <v>4.370113262696381</v>
      </c>
      <c r="AR4" s="88">
        <f t="shared" ref="AR4:AR11" si="8">AQ4/3</f>
        <v>1.4567044208987936</v>
      </c>
      <c r="AS4" s="67" t="s">
        <v>486</v>
      </c>
      <c r="AV4" s="71">
        <v>1.4567044208987936</v>
      </c>
      <c r="AW4" s="71" t="s">
        <v>477</v>
      </c>
      <c r="AX4" s="71"/>
      <c r="AY4" s="71">
        <v>63.843313116783122</v>
      </c>
      <c r="AZ4" s="71" t="s">
        <v>490</v>
      </c>
      <c r="BB4" s="67">
        <v>5.4</v>
      </c>
      <c r="BC4" s="67">
        <v>3.7</v>
      </c>
      <c r="BD4" s="67">
        <v>1.5</v>
      </c>
      <c r="BE4" s="67" t="s">
        <v>477</v>
      </c>
      <c r="BF4" s="71" t="s">
        <v>477</v>
      </c>
    </row>
    <row r="5" spans="1:58">
      <c r="B5" s="67">
        <v>4.7</v>
      </c>
      <c r="C5" s="67">
        <v>3.2</v>
      </c>
      <c r="D5" s="67">
        <v>1.3</v>
      </c>
      <c r="E5" s="67" t="s">
        <v>477</v>
      </c>
      <c r="G5" s="88">
        <f t="shared" si="4"/>
        <v>-0.57885968423393452</v>
      </c>
      <c r="H5" s="88">
        <f t="shared" si="0"/>
        <v>-0.37751902268001719</v>
      </c>
      <c r="I5" s="88">
        <f t="shared" si="1"/>
        <v>-1.4638501094227989</v>
      </c>
      <c r="K5" s="67" t="s">
        <v>476</v>
      </c>
      <c r="L5" s="88">
        <v>-0.48795003647426699</v>
      </c>
      <c r="M5" s="88">
        <v>-0.48795003647426699</v>
      </c>
      <c r="N5" s="88">
        <v>-1.4638501094227989</v>
      </c>
      <c r="O5" s="88">
        <v>0.48795003647426699</v>
      </c>
      <c r="P5" s="88">
        <v>-0.48795003647426699</v>
      </c>
      <c r="Q5" s="88">
        <v>2.4397501823713328</v>
      </c>
      <c r="R5" s="88">
        <v>-0.48795003647426699</v>
      </c>
      <c r="S5" s="88">
        <v>0.48795003647426699</v>
      </c>
      <c r="T5" s="88">
        <v>-0.48795003647426699</v>
      </c>
      <c r="U5" s="88">
        <v>0.48795003647426699</v>
      </c>
      <c r="W5" s="88">
        <f t="array" ref="W5:Y5">MMULT(G5:I5,$R$9:$T$11)</f>
        <v>0.15383913426418561</v>
      </c>
      <c r="X5" s="88">
        <v>0.4233487060092499</v>
      </c>
      <c r="Y5" s="88">
        <v>-1.7759634191982832</v>
      </c>
      <c r="AA5" s="88">
        <f>MMULT(W5:Y5,N3:N5)</f>
        <v>2.3508707830958446</v>
      </c>
      <c r="AB5" s="88">
        <f t="shared" si="5"/>
        <v>0.78362359436528151</v>
      </c>
      <c r="AD5" s="67">
        <v>7</v>
      </c>
      <c r="AE5" s="67">
        <v>3.2</v>
      </c>
      <c r="AF5" s="67">
        <v>4.7</v>
      </c>
      <c r="AG5" s="67" t="s">
        <v>478</v>
      </c>
      <c r="AI5" s="88">
        <f t="shared" si="6"/>
        <v>7.7422482766289127</v>
      </c>
      <c r="AJ5" s="88">
        <f t="shared" si="2"/>
        <v>-0.37751902268001719</v>
      </c>
      <c r="AK5" s="88">
        <f t="shared" si="3"/>
        <v>31.716752370827326</v>
      </c>
      <c r="AM5" s="88">
        <f t="array" ref="AM5:AO5">MMULT(AI5:AK5,$R$9:$T$11)</f>
        <v>-0.99540989063280705</v>
      </c>
      <c r="AN5" s="88">
        <v>-22.408737709197123</v>
      </c>
      <c r="AO5" s="88">
        <v>43.94745090655541</v>
      </c>
      <c r="AQ5" s="88">
        <f t="shared" si="7"/>
        <v>1394.6234319814866</v>
      </c>
      <c r="AR5" s="88">
        <f t="shared" si="8"/>
        <v>464.8744773271622</v>
      </c>
      <c r="AS5" s="67" t="s">
        <v>488</v>
      </c>
      <c r="AV5" s="71">
        <v>464.8744773271622</v>
      </c>
      <c r="AW5" s="71" t="s">
        <v>487</v>
      </c>
      <c r="AX5" s="71"/>
      <c r="AY5" s="71">
        <v>1.0706827907120628</v>
      </c>
      <c r="AZ5" s="71" t="s">
        <v>478</v>
      </c>
      <c r="BB5" s="67">
        <v>4.8</v>
      </c>
      <c r="BC5" s="67">
        <v>3.4</v>
      </c>
      <c r="BD5" s="67">
        <v>1.6</v>
      </c>
      <c r="BE5" s="67" t="s">
        <v>477</v>
      </c>
      <c r="BF5" s="71" t="s">
        <v>477</v>
      </c>
    </row>
    <row r="6" spans="1:58">
      <c r="B6" s="67">
        <v>4.5999999999999996</v>
      </c>
      <c r="C6" s="67">
        <v>3.1</v>
      </c>
      <c r="D6" s="67">
        <v>1.5</v>
      </c>
      <c r="E6" s="67" t="s">
        <v>477</v>
      </c>
      <c r="G6" s="88">
        <f t="shared" si="4"/>
        <v>-0.94064698688014725</v>
      </c>
      <c r="H6" s="88">
        <f t="shared" si="0"/>
        <v>-0.72071813420730757</v>
      </c>
      <c r="I6" s="88">
        <f t="shared" si="1"/>
        <v>0.48795003647426699</v>
      </c>
      <c r="W6" s="88">
        <f t="array" ref="W6:Y6">MMULT(G6:I6,$R$9:$T$11)</f>
        <v>-1.815773063940906</v>
      </c>
      <c r="X6" s="88">
        <v>-0.15117061924554764</v>
      </c>
      <c r="Y6" s="88">
        <v>1.6562846250860512</v>
      </c>
      <c r="AA6" s="88">
        <f>MMULT(W6:Y6,O3:O5)</f>
        <v>2.6251370113262666</v>
      </c>
      <c r="AB6" s="88">
        <f t="shared" si="5"/>
        <v>0.87504567044208892</v>
      </c>
      <c r="AD6" s="67">
        <v>6.4</v>
      </c>
      <c r="AE6" s="67">
        <v>3.2</v>
      </c>
      <c r="AF6" s="67">
        <v>4.5</v>
      </c>
      <c r="AG6" s="67" t="s">
        <v>478</v>
      </c>
      <c r="AI6" s="88">
        <f t="shared" si="6"/>
        <v>5.5715244607516494</v>
      </c>
      <c r="AJ6" s="88">
        <f t="shared" si="2"/>
        <v>-0.37751902268001719</v>
      </c>
      <c r="AK6" s="88">
        <f t="shared" si="3"/>
        <v>29.764952224930258</v>
      </c>
      <c r="AM6" s="88">
        <f t="array" ref="AM6:AO6">MMULT(AI6:AK6,$R$9:$T$11)</f>
        <v>-6.0212704476661116</v>
      </c>
      <c r="AN6" s="88">
        <v>-17.749417918835462</v>
      </c>
      <c r="AO6" s="88">
        <v>42.59342075419076</v>
      </c>
      <c r="AQ6" s="88">
        <f t="shared" si="7"/>
        <v>1240.944221166726</v>
      </c>
      <c r="AR6" s="88">
        <f t="shared" si="8"/>
        <v>413.64807372224203</v>
      </c>
      <c r="AS6" s="67" t="s">
        <v>488</v>
      </c>
      <c r="AV6" s="71">
        <v>413.64807372224203</v>
      </c>
      <c r="AW6" s="71" t="s">
        <v>487</v>
      </c>
      <c r="AX6" s="71"/>
      <c r="AY6" s="71">
        <v>0.61836655022668507</v>
      </c>
      <c r="AZ6" s="71" t="s">
        <v>478</v>
      </c>
      <c r="BB6" s="67">
        <v>7</v>
      </c>
      <c r="BC6" s="67">
        <v>3.2</v>
      </c>
      <c r="BD6" s="67">
        <v>4.7</v>
      </c>
      <c r="BE6" s="67" t="s">
        <v>478</v>
      </c>
      <c r="BF6" s="71" t="s">
        <v>478</v>
      </c>
    </row>
    <row r="7" spans="1:58">
      <c r="B7" s="67">
        <v>5</v>
      </c>
      <c r="C7" s="67">
        <v>3.6</v>
      </c>
      <c r="D7" s="67">
        <v>1.4</v>
      </c>
      <c r="E7" s="67" t="s">
        <v>477</v>
      </c>
      <c r="G7" s="88">
        <f t="shared" si="4"/>
        <v>0.50650222370469711</v>
      </c>
      <c r="H7" s="88">
        <f t="shared" si="0"/>
        <v>0.99527742342914294</v>
      </c>
      <c r="I7" s="88">
        <f t="shared" si="1"/>
        <v>-0.48795003647426699</v>
      </c>
      <c r="K7" s="106" t="s">
        <v>241</v>
      </c>
      <c r="L7" s="106"/>
      <c r="M7" s="106"/>
      <c r="N7" s="106"/>
      <c r="Q7" s="106" t="s">
        <v>485</v>
      </c>
      <c r="R7" s="106"/>
      <c r="S7" s="106"/>
      <c r="T7" s="106"/>
      <c r="W7" s="88">
        <f t="array" ref="W7:Y7">MMULT(G7:I7,$R$9:$T$11)</f>
        <v>-4.106865291078321E-2</v>
      </c>
      <c r="X7" s="88">
        <v>1.7359780970639207</v>
      </c>
      <c r="Y7" s="88">
        <v>-1.3645129664474775</v>
      </c>
      <c r="AA7" s="88">
        <f>MMULT(W7:Y7,P3:P5)</f>
        <v>2.3727925952989946</v>
      </c>
      <c r="AB7" s="88">
        <f t="shared" si="5"/>
        <v>0.79093086509966481</v>
      </c>
      <c r="AD7" s="67">
        <v>6.3</v>
      </c>
      <c r="AE7" s="67">
        <v>3.3</v>
      </c>
      <c r="AF7" s="67">
        <v>6</v>
      </c>
      <c r="AG7" s="67" t="s">
        <v>479</v>
      </c>
      <c r="AI7" s="88">
        <f t="shared" si="6"/>
        <v>5.2097371581054368</v>
      </c>
      <c r="AJ7" s="88">
        <f t="shared" si="2"/>
        <v>-3.4319911152728283E-2</v>
      </c>
      <c r="AK7" s="88">
        <f t="shared" si="3"/>
        <v>44.403453319158253</v>
      </c>
      <c r="AM7" s="88">
        <f t="array" ref="AM7:AO7">MMULT(AI7:AK7,$R$9:$T$11)</f>
        <v>-19.423116428684896</v>
      </c>
      <c r="AN7" s="88">
        <v>-18.957008569757065</v>
      </c>
      <c r="AO7" s="88">
        <v>65.902831435188176</v>
      </c>
      <c r="AQ7" s="88">
        <f t="shared" si="7"/>
        <v>2825.7745706978408</v>
      </c>
      <c r="AR7" s="88">
        <f t="shared" si="8"/>
        <v>941.92485689928026</v>
      </c>
      <c r="AS7" s="67" t="s">
        <v>488</v>
      </c>
      <c r="AV7" s="71">
        <v>941.92485689928026</v>
      </c>
      <c r="AW7" s="71" t="s">
        <v>487</v>
      </c>
      <c r="AX7" s="71"/>
      <c r="AY7" s="71">
        <v>21.238586011208515</v>
      </c>
      <c r="AZ7" s="71" t="s">
        <v>490</v>
      </c>
      <c r="BB7" s="67">
        <v>6.4</v>
      </c>
      <c r="BC7" s="67">
        <v>3.2</v>
      </c>
      <c r="BD7" s="67">
        <v>4.5</v>
      </c>
      <c r="BE7" s="67" t="s">
        <v>478</v>
      </c>
      <c r="BF7" s="71" t="s">
        <v>478</v>
      </c>
    </row>
    <row r="8" spans="1:58">
      <c r="B8" s="67">
        <v>5.4</v>
      </c>
      <c r="C8" s="67">
        <v>3.9</v>
      </c>
      <c r="D8" s="67">
        <v>1.7</v>
      </c>
      <c r="E8" s="67" t="s">
        <v>477</v>
      </c>
      <c r="G8" s="88">
        <f t="shared" si="4"/>
        <v>1.9536514342895415</v>
      </c>
      <c r="H8" s="88">
        <f t="shared" si="0"/>
        <v>2.0248747580110127</v>
      </c>
      <c r="I8" s="88">
        <f t="shared" si="1"/>
        <v>2.4397501823713328</v>
      </c>
      <c r="L8" s="67" t="s">
        <v>474</v>
      </c>
      <c r="M8" s="67" t="s">
        <v>475</v>
      </c>
      <c r="N8" s="67" t="s">
        <v>476</v>
      </c>
      <c r="R8" s="67" t="s">
        <v>474</v>
      </c>
      <c r="S8" s="67" t="s">
        <v>475</v>
      </c>
      <c r="T8" s="67" t="s">
        <v>476</v>
      </c>
      <c r="W8" s="88">
        <f t="array" ref="W8:Y8">MMULT(G8:I8,$R$9:$T$11)</f>
        <v>-1.3465132101889266E-2</v>
      </c>
      <c r="X8" s="88">
        <v>1.0468387952450033</v>
      </c>
      <c r="Y8" s="88">
        <v>1.9043778917128622</v>
      </c>
      <c r="AA8" s="88">
        <f>MMULT(W8:Y8,Q3:Q5)</f>
        <v>6.7396175861649024</v>
      </c>
      <c r="AB8" s="88">
        <f t="shared" si="5"/>
        <v>2.2465391953883009</v>
      </c>
      <c r="AD8" s="67">
        <v>5.8</v>
      </c>
      <c r="AE8" s="67">
        <v>2.7</v>
      </c>
      <c r="AF8" s="67">
        <v>5.0999999999999996</v>
      </c>
      <c r="AG8" s="67" t="s">
        <v>479</v>
      </c>
      <c r="AI8" s="88">
        <f t="shared" si="6"/>
        <v>3.4008006448743826</v>
      </c>
      <c r="AJ8" s="88">
        <f t="shared" si="2"/>
        <v>-2.0935145803164676</v>
      </c>
      <c r="AK8" s="88">
        <f t="shared" si="3"/>
        <v>35.620352662621457</v>
      </c>
      <c r="AM8" s="88">
        <f t="array" ref="AM8:AO8">MMULT(AI8:AK8,$R$9:$T$11)</f>
        <v>-13.864373268718982</v>
      </c>
      <c r="AN8" s="88">
        <v>-19.153246486289436</v>
      </c>
      <c r="AO8" s="88">
        <v>53.88515865707172</v>
      </c>
      <c r="AQ8" s="88">
        <f t="shared" si="7"/>
        <v>1912.3559858726078</v>
      </c>
      <c r="AR8" s="88">
        <f t="shared" si="8"/>
        <v>637.45199529086926</v>
      </c>
      <c r="AS8" s="67" t="s">
        <v>488</v>
      </c>
      <c r="AV8" s="71">
        <v>637.45199529086926</v>
      </c>
      <c r="AW8" s="71" t="s">
        <v>487</v>
      </c>
      <c r="AX8" s="71"/>
      <c r="AY8" s="71">
        <v>9.0921606799781021</v>
      </c>
      <c r="AZ8" s="71" t="s">
        <v>490</v>
      </c>
      <c r="BB8" s="67">
        <v>6.3</v>
      </c>
      <c r="BC8" s="67">
        <v>3.3</v>
      </c>
      <c r="BD8" s="67">
        <v>6</v>
      </c>
      <c r="BE8" s="67" t="s">
        <v>479</v>
      </c>
      <c r="BF8" s="67" t="s">
        <v>499</v>
      </c>
    </row>
    <row r="9" spans="1:58">
      <c r="B9" s="67">
        <v>4.5999999999999996</v>
      </c>
      <c r="C9" s="67">
        <v>3.4</v>
      </c>
      <c r="D9" s="67">
        <v>1.4</v>
      </c>
      <c r="E9" s="67" t="s">
        <v>477</v>
      </c>
      <c r="G9" s="88">
        <f t="shared" si="4"/>
        <v>-0.94064698688014725</v>
      </c>
      <c r="H9" s="88">
        <f t="shared" si="0"/>
        <v>0.30887920037456212</v>
      </c>
      <c r="I9" s="88">
        <f t="shared" si="1"/>
        <v>-0.48795003647426699</v>
      </c>
      <c r="K9" s="67" t="s">
        <v>474</v>
      </c>
      <c r="L9" s="88">
        <f t="array" ref="L9:N11">MMULT(L3:U5,G3:I12)/10</f>
        <v>1</v>
      </c>
      <c r="M9" s="88">
        <v>0.78720661246241763</v>
      </c>
      <c r="N9" s="88">
        <v>0.60021603357529341</v>
      </c>
      <c r="Q9" s="67" t="s">
        <v>474</v>
      </c>
      <c r="R9" s="88">
        <f t="array" ref="R9:T11">MINVERSE(L9:N11)</f>
        <v>3.0295749604189477</v>
      </c>
      <c r="S9" s="88">
        <v>-1.9724978698526621</v>
      </c>
      <c r="T9" s="88">
        <v>-0.79439996189819462</v>
      </c>
      <c r="W9" s="88">
        <f t="array" ref="W9:Y9">MMULT(G9:I9,$R$9:$T$11)</f>
        <v>-3.0713966324428617</v>
      </c>
      <c r="X9" s="88">
        <v>2.7693321891837348</v>
      </c>
      <c r="Y9" s="88">
        <v>-8.2115376982115351E-2</v>
      </c>
      <c r="AA9" s="88">
        <f>MMULT(W9:Y9,R3:R5)</f>
        <v>3.784557301181338</v>
      </c>
      <c r="AB9" s="88">
        <f t="shared" si="5"/>
        <v>1.2615191003937793</v>
      </c>
      <c r="AD9" s="67">
        <v>4.9000000000000004</v>
      </c>
      <c r="AE9" s="67">
        <v>3</v>
      </c>
      <c r="AF9" s="67">
        <v>1.4</v>
      </c>
      <c r="AG9" s="67" t="s">
        <v>477</v>
      </c>
      <c r="AI9" s="88">
        <f t="shared" si="6"/>
        <v>0.14471492105848766</v>
      </c>
      <c r="AJ9" s="88">
        <f t="shared" si="2"/>
        <v>-1.063917245734598</v>
      </c>
      <c r="AK9" s="88">
        <f t="shared" si="3"/>
        <v>-0.48795003647426699</v>
      </c>
      <c r="AM9" s="88">
        <f t="array" ref="AM9:AO9">MMULT(AI9:AK9,$R$9:$T$11)</f>
        <v>2.9246266925321849</v>
      </c>
      <c r="AN9" s="88">
        <v>-3.013831148479944</v>
      </c>
      <c r="AO9" s="88">
        <v>-0.6787622118628005</v>
      </c>
      <c r="AQ9" s="88">
        <f t="shared" si="7"/>
        <v>3.9609061015710711</v>
      </c>
      <c r="AR9" s="88">
        <f t="shared" si="8"/>
        <v>1.3203020338570237</v>
      </c>
      <c r="AS9" s="67" t="s">
        <v>486</v>
      </c>
      <c r="AV9" s="71">
        <v>1.3203020338570237</v>
      </c>
      <c r="AW9" s="71" t="s">
        <v>477</v>
      </c>
      <c r="AX9" s="71"/>
      <c r="AY9" s="71">
        <v>64.050984557215159</v>
      </c>
      <c r="AZ9" s="71" t="s">
        <v>490</v>
      </c>
      <c r="BB9" s="67">
        <v>5.8</v>
      </c>
      <c r="BC9" s="67">
        <v>2.7</v>
      </c>
      <c r="BD9" s="67">
        <v>5.0999999999999996</v>
      </c>
      <c r="BE9" s="67" t="s">
        <v>479</v>
      </c>
      <c r="BF9" s="67" t="s">
        <v>499</v>
      </c>
    </row>
    <row r="10" spans="1:58">
      <c r="B10" s="67">
        <v>5</v>
      </c>
      <c r="C10" s="67">
        <v>3.4</v>
      </c>
      <c r="D10" s="67">
        <v>1.5</v>
      </c>
      <c r="E10" s="67" t="s">
        <v>477</v>
      </c>
      <c r="G10" s="88">
        <f t="shared" si="4"/>
        <v>0.50650222370469711</v>
      </c>
      <c r="H10" s="88">
        <f t="shared" si="0"/>
        <v>0.30887920037456212</v>
      </c>
      <c r="I10" s="88">
        <f t="shared" si="1"/>
        <v>0.48795003647426699</v>
      </c>
      <c r="K10" s="67" t="s">
        <v>475</v>
      </c>
      <c r="L10" s="88">
        <v>0.78720661246241763</v>
      </c>
      <c r="M10" s="88">
        <v>1</v>
      </c>
      <c r="N10" s="88">
        <v>0.51913845886179888</v>
      </c>
      <c r="Q10" s="67" t="s">
        <v>475</v>
      </c>
      <c r="R10" s="88">
        <v>-1.9724978698526621</v>
      </c>
      <c r="S10" s="88">
        <v>2.6531896236755541</v>
      </c>
      <c r="T10" s="88">
        <v>-0.193447924624363</v>
      </c>
      <c r="W10" s="88">
        <f t="array" ref="W10:Y10">MMULT(G10:I10,$R$9:$T$11)</f>
        <v>0.53759539916826893</v>
      </c>
      <c r="X10" s="88">
        <v>-0.27395238980649017</v>
      </c>
      <c r="Y10" s="88">
        <v>0.30749587976281006</v>
      </c>
      <c r="AA10" s="88">
        <f>MMULT(W10:Y10,S3:S5)</f>
        <v>0.33771769577396338</v>
      </c>
      <c r="AB10" s="88">
        <f t="shared" si="5"/>
        <v>0.1125725652579878</v>
      </c>
      <c r="AD10" s="67">
        <v>5.7</v>
      </c>
      <c r="AE10" s="67">
        <v>2.8</v>
      </c>
      <c r="AF10" s="67">
        <v>4.0999999999999996</v>
      </c>
      <c r="AG10" s="67" t="s">
        <v>478</v>
      </c>
      <c r="AI10" s="88">
        <f t="shared" si="6"/>
        <v>3.0390133422281731</v>
      </c>
      <c r="AJ10" s="88">
        <f t="shared" si="2"/>
        <v>-1.7503154687891789</v>
      </c>
      <c r="AK10" s="88">
        <f t="shared" si="3"/>
        <v>25.861351933136124</v>
      </c>
      <c r="AM10" s="88">
        <f t="array" ref="AM10:AO10">MMULT(AI10:AK10,$R$9:$T$11)</f>
        <v>-7.8848447305687515</v>
      </c>
      <c r="AN10" s="88">
        <v>-15.641191043394594</v>
      </c>
      <c r="AO10" s="88">
        <v>38.713905975705977</v>
      </c>
      <c r="AQ10" s="88">
        <f t="shared" si="7"/>
        <v>1004.6088174400184</v>
      </c>
      <c r="AR10" s="88">
        <f t="shared" si="8"/>
        <v>334.86960581333943</v>
      </c>
      <c r="AS10" s="67" t="s">
        <v>488</v>
      </c>
      <c r="AV10" s="71">
        <v>334.86960581333943</v>
      </c>
      <c r="AW10" s="71" t="s">
        <v>487</v>
      </c>
      <c r="AX10" s="71"/>
      <c r="AY10" s="71">
        <v>0.18514171912803126</v>
      </c>
      <c r="AZ10" s="71" t="s">
        <v>478</v>
      </c>
      <c r="BB10" s="67">
        <v>4.9000000000000004</v>
      </c>
      <c r="BC10" s="67">
        <v>3</v>
      </c>
      <c r="BD10" s="67">
        <v>1.4</v>
      </c>
      <c r="BE10" s="67" t="s">
        <v>477</v>
      </c>
      <c r="BF10" s="71" t="s">
        <v>477</v>
      </c>
    </row>
    <row r="11" spans="1:58">
      <c r="B11" s="67">
        <v>4.4000000000000004</v>
      </c>
      <c r="C11" s="67">
        <v>2.9</v>
      </c>
      <c r="D11" s="67">
        <v>1.4</v>
      </c>
      <c r="E11" s="67" t="s">
        <v>477</v>
      </c>
      <c r="G11" s="88">
        <f t="shared" si="4"/>
        <v>-1.6642215921725663</v>
      </c>
      <c r="H11" s="88">
        <f t="shared" si="0"/>
        <v>-1.4071163572618886</v>
      </c>
      <c r="I11" s="88">
        <f t="shared" si="1"/>
        <v>-0.48795003647426699</v>
      </c>
      <c r="K11" s="67" t="s">
        <v>476</v>
      </c>
      <c r="L11" s="88">
        <v>0.60021603357529341</v>
      </c>
      <c r="M11" s="88">
        <v>0.51913845886179888</v>
      </c>
      <c r="N11" s="88">
        <v>1.0000000000000004</v>
      </c>
      <c r="Q11" s="67" t="s">
        <v>476</v>
      </c>
      <c r="R11" s="88">
        <v>-0.79439996189819473</v>
      </c>
      <c r="S11" s="88">
        <v>-0.193447924624363</v>
      </c>
      <c r="T11" s="88">
        <v>1.577237851662403</v>
      </c>
      <c r="W11" s="88">
        <f t="array" ref="W11:Y11">MMULT(G11:I11,$R$9:$T$11)</f>
        <v>-1.8787225565172676</v>
      </c>
      <c r="X11" s="88">
        <v>-0.35628005099186477</v>
      </c>
      <c r="Y11" s="88">
        <v>0.82464804118208124</v>
      </c>
      <c r="AA11" s="88">
        <f>MMULT(W11:Y11,T3:T5)</f>
        <v>3.2255510900012045</v>
      </c>
      <c r="AB11" s="88">
        <f t="shared" si="5"/>
        <v>1.0751836966670683</v>
      </c>
      <c r="AD11" s="67">
        <v>6.3</v>
      </c>
      <c r="AE11" s="67">
        <v>3.3</v>
      </c>
      <c r="AF11" s="67">
        <v>6</v>
      </c>
      <c r="AG11" s="67" t="s">
        <v>479</v>
      </c>
      <c r="AI11" s="88">
        <f t="shared" si="6"/>
        <v>5.2097371581054368</v>
      </c>
      <c r="AJ11" s="88">
        <f t="shared" si="2"/>
        <v>-3.4319911152728283E-2</v>
      </c>
      <c r="AK11" s="88">
        <f t="shared" si="3"/>
        <v>44.403453319158253</v>
      </c>
      <c r="AM11" s="88">
        <f t="array" ref="AM11:AO11">MMULT(AI11:AK11,$R$9:$T$11)</f>
        <v>-19.423116428684896</v>
      </c>
      <c r="AN11" s="88">
        <v>-18.957008569757065</v>
      </c>
      <c r="AO11" s="88">
        <v>65.902831435188176</v>
      </c>
      <c r="AQ11" s="88">
        <f t="shared" si="7"/>
        <v>2825.7745706978408</v>
      </c>
      <c r="AR11" s="88">
        <f t="shared" si="8"/>
        <v>941.92485689928026</v>
      </c>
      <c r="AS11" s="67" t="s">
        <v>488</v>
      </c>
      <c r="AV11" s="71">
        <v>941.92485689928026</v>
      </c>
      <c r="AW11" s="71" t="s">
        <v>487</v>
      </c>
      <c r="AX11" s="71"/>
      <c r="AY11" s="71">
        <v>21.238586011208515</v>
      </c>
      <c r="AZ11" s="71" t="s">
        <v>490</v>
      </c>
      <c r="BB11" s="67">
        <v>5.7</v>
      </c>
      <c r="BC11" s="67">
        <v>2.8</v>
      </c>
      <c r="BD11" s="67">
        <v>4.0999999999999996</v>
      </c>
      <c r="BE11" s="67" t="s">
        <v>478</v>
      </c>
      <c r="BF11" s="71" t="s">
        <v>478</v>
      </c>
    </row>
    <row r="12" spans="1:58">
      <c r="B12" s="67">
        <v>4.9000000000000004</v>
      </c>
      <c r="C12" s="67">
        <v>3.1</v>
      </c>
      <c r="D12" s="67">
        <v>1.5</v>
      </c>
      <c r="E12" s="67" t="s">
        <v>477</v>
      </c>
      <c r="G12" s="88">
        <f t="shared" si="4"/>
        <v>0.14471492105848766</v>
      </c>
      <c r="H12" s="88">
        <f t="shared" si="0"/>
        <v>-0.72071813420730757</v>
      </c>
      <c r="I12" s="88">
        <f t="shared" si="1"/>
        <v>0.48795003647426699</v>
      </c>
      <c r="W12" s="88">
        <f t="array" ref="W12:Y12">MMULT(G12:I12,$R$9:$T$11)</f>
        <v>1.4724121953425175</v>
      </c>
      <c r="X12" s="88">
        <v>-2.2920446706737261</v>
      </c>
      <c r="Y12" s="88">
        <v>0.79407316677384798</v>
      </c>
      <c r="AA12" s="88">
        <f>MMULT(W12:Y12,U3:U5)</f>
        <v>2.2524662038728533</v>
      </c>
      <c r="AB12" s="88">
        <f t="shared" si="5"/>
        <v>0.75082206795761774</v>
      </c>
      <c r="BB12" s="67">
        <v>6.3</v>
      </c>
      <c r="BC12" s="67">
        <v>3.3</v>
      </c>
      <c r="BD12" s="67">
        <v>6</v>
      </c>
      <c r="BE12" s="67" t="s">
        <v>479</v>
      </c>
      <c r="BF12" s="67" t="s">
        <v>499</v>
      </c>
    </row>
    <row r="13" spans="1:58">
      <c r="A13" s="67" t="s">
        <v>480</v>
      </c>
      <c r="B13" s="88">
        <f>AVERAGE(B3:B12)</f>
        <v>4.8599999999999994</v>
      </c>
      <c r="C13" s="88">
        <f t="shared" ref="C13:D13" si="9">AVERAGE(C3:C12)</f>
        <v>3.3099999999999996</v>
      </c>
      <c r="D13" s="88">
        <f t="shared" si="9"/>
        <v>1.45</v>
      </c>
      <c r="F13" s="67" t="s">
        <v>480</v>
      </c>
      <c r="G13" s="88">
        <f>AVERAGE(G3:G12)</f>
        <v>2.2370993946196903E-15</v>
      </c>
      <c r="H13" s="88">
        <f t="shared" ref="H13" si="10">AVERAGE(H3:H12)</f>
        <v>1.3655743202889426E-15</v>
      </c>
      <c r="I13" s="88">
        <f t="shared" ref="I13" si="11">AVERAGE(I3:I12)</f>
        <v>0</v>
      </c>
    </row>
    <row r="14" spans="1:58">
      <c r="A14" s="67" t="s">
        <v>481</v>
      </c>
      <c r="B14" s="88">
        <f>_xlfn.STDEV.P(B3:B12)</f>
        <v>0.2764054992217051</v>
      </c>
      <c r="C14" s="88">
        <f t="shared" ref="C14:D14" si="12">_xlfn.STDEV.P(C3:C12)</f>
        <v>0.2913760456866693</v>
      </c>
      <c r="D14" s="88">
        <f t="shared" si="12"/>
        <v>0.10246950765959599</v>
      </c>
      <c r="F14" s="67" t="s">
        <v>481</v>
      </c>
      <c r="G14" s="88">
        <f>_xlfn.STDEV.P(G3:G12)</f>
        <v>1</v>
      </c>
      <c r="H14" s="88">
        <f t="shared" ref="H14:I14" si="13">_xlfn.STDEV.P(H3:H12)</f>
        <v>1</v>
      </c>
      <c r="I14" s="88">
        <f t="shared" si="13"/>
        <v>1</v>
      </c>
    </row>
    <row r="15" spans="1:58">
      <c r="B15" s="106" t="s">
        <v>483</v>
      </c>
      <c r="C15" s="106"/>
      <c r="D15" s="106"/>
      <c r="E15" s="106"/>
      <c r="G15" s="106" t="s">
        <v>240</v>
      </c>
      <c r="H15" s="106"/>
      <c r="I15" s="106"/>
      <c r="W15" s="106" t="s">
        <v>242</v>
      </c>
      <c r="X15" s="106"/>
      <c r="Y15" s="106"/>
      <c r="AI15" s="106" t="s">
        <v>467</v>
      </c>
      <c r="AJ15" s="106"/>
      <c r="AK15" s="106"/>
      <c r="AM15" s="106" t="s">
        <v>242</v>
      </c>
      <c r="AN15" s="106"/>
      <c r="AO15" s="106"/>
    </row>
    <row r="16" spans="1:58">
      <c r="B16" s="67" t="s">
        <v>474</v>
      </c>
      <c r="C16" s="67" t="s">
        <v>475</v>
      </c>
      <c r="D16" s="67" t="s">
        <v>476</v>
      </c>
      <c r="E16" s="67" t="s">
        <v>472</v>
      </c>
      <c r="G16" s="67" t="s">
        <v>474</v>
      </c>
      <c r="H16" s="67" t="s">
        <v>475</v>
      </c>
      <c r="I16" s="67" t="s">
        <v>476</v>
      </c>
      <c r="K16" s="106" t="s">
        <v>484</v>
      </c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W16" s="67" t="s">
        <v>474</v>
      </c>
      <c r="X16" s="67" t="s">
        <v>475</v>
      </c>
      <c r="Y16" s="67" t="s">
        <v>476</v>
      </c>
      <c r="AA16" s="68" t="s">
        <v>243</v>
      </c>
      <c r="AB16" s="66" t="s">
        <v>494</v>
      </c>
      <c r="AI16" s="67" t="s">
        <v>474</v>
      </c>
      <c r="AJ16" s="67" t="s">
        <v>475</v>
      </c>
      <c r="AK16" s="67" t="s">
        <v>476</v>
      </c>
      <c r="AM16" s="67" t="s">
        <v>474</v>
      </c>
      <c r="AN16" s="67" t="s">
        <v>475</v>
      </c>
      <c r="AO16" s="67" t="s">
        <v>476</v>
      </c>
      <c r="AQ16" s="68" t="s">
        <v>243</v>
      </c>
      <c r="AR16" s="66" t="s">
        <v>494</v>
      </c>
      <c r="AS16" s="69" t="s">
        <v>492</v>
      </c>
    </row>
    <row r="17" spans="1:45">
      <c r="B17" s="67">
        <v>7</v>
      </c>
      <c r="C17" s="67">
        <v>3.2</v>
      </c>
      <c r="D17" s="67">
        <v>4.7</v>
      </c>
      <c r="E17" s="67" t="s">
        <v>478</v>
      </c>
      <c r="G17" s="88">
        <f>(B17-B$27)/B$28</f>
        <v>1.3044848302180045</v>
      </c>
      <c r="H17" s="88">
        <f t="shared" ref="H17:H26" si="14">(C17-C$27)/C$28</f>
        <v>1.0227949501666787</v>
      </c>
      <c r="I17" s="88">
        <f t="shared" ref="I17:I26" si="15">(D17-D$27)/D$28</f>
        <v>0.71319059307156929</v>
      </c>
      <c r="K17" s="67" t="s">
        <v>474</v>
      </c>
      <c r="L17" s="88">
        <f t="array" ref="L17:U19">TRANSPOSE(G17:I26)</f>
        <v>1.3044848302180045</v>
      </c>
      <c r="M17" s="88">
        <v>0.43482827673933566</v>
      </c>
      <c r="N17" s="88">
        <v>1.1595420713048934</v>
      </c>
      <c r="O17" s="88">
        <v>-0.86965655347866877</v>
      </c>
      <c r="P17" s="88">
        <v>0.5797710356524467</v>
      </c>
      <c r="Q17" s="88">
        <v>-0.57977103565244537</v>
      </c>
      <c r="R17" s="88">
        <v>0.28988551782622335</v>
      </c>
      <c r="S17" s="88">
        <v>-1.7393131069573375</v>
      </c>
      <c r="T17" s="88">
        <v>0.72471379456555773</v>
      </c>
      <c r="U17" s="88">
        <v>-1.3044848302180032</v>
      </c>
      <c r="W17" s="88">
        <f t="array" ref="W17:Y17">MMULT(G17:I17,$R$23:$T$25)</f>
        <v>3.6440944099575101</v>
      </c>
      <c r="X17" s="88">
        <v>0.70246977555068524</v>
      </c>
      <c r="Y17" s="88">
        <v>-3.168998675206546</v>
      </c>
      <c r="AA17" s="88">
        <f>MMULT(W17:Y17,L17:L19)</f>
        <v>3.2120483721361888</v>
      </c>
      <c r="AB17" s="88">
        <f t="shared" ref="AB17:AB26" si="16">AA17/3</f>
        <v>1.0706827907120628</v>
      </c>
      <c r="AI17" s="88">
        <f>(AD3-B$27)/B$28</f>
        <v>-1.0145993123917798</v>
      </c>
      <c r="AJ17" s="88">
        <f t="shared" ref="AJ17:AJ25" si="17">(AE3-C$27)/C$28</f>
        <v>2.5724842686010403</v>
      </c>
      <c r="AK17" s="88">
        <f t="shared" ref="AK17:AK25" si="18">(AF3-D$27)/D$28</f>
        <v>-6.2025969761072828</v>
      </c>
      <c r="AM17" s="88">
        <f t="array" ref="AM17:AO17">MMULT(AI17:AK17,$R$23:$T$25)</f>
        <v>21.830484881278068</v>
      </c>
      <c r="AN17" s="88">
        <v>17.416407607065977</v>
      </c>
      <c r="AO17" s="88">
        <v>-39.996505881223101</v>
      </c>
      <c r="AQ17" s="88">
        <f>SUMPRODUCT(AI17:AK17,AM17:AO17)</f>
        <v>270.73644606872841</v>
      </c>
      <c r="AR17" s="88">
        <f>AQ17/3</f>
        <v>90.245482022909471</v>
      </c>
      <c r="AS17" s="67" t="s">
        <v>491</v>
      </c>
    </row>
    <row r="18" spans="1:45">
      <c r="B18" s="67">
        <v>6.4</v>
      </c>
      <c r="C18" s="67">
        <v>3.2</v>
      </c>
      <c r="D18" s="67">
        <v>4.5</v>
      </c>
      <c r="E18" s="67" t="s">
        <v>478</v>
      </c>
      <c r="G18" s="88">
        <f t="shared" ref="G18:G26" si="19">(B18-B$27)/B$28</f>
        <v>0.43482827673933566</v>
      </c>
      <c r="H18" s="88">
        <f t="shared" si="14"/>
        <v>1.0227949501666787</v>
      </c>
      <c r="I18" s="88">
        <f t="shared" si="15"/>
        <v>0.28095386999789063</v>
      </c>
      <c r="K18" s="67" t="s">
        <v>475</v>
      </c>
      <c r="L18" s="88">
        <v>1.0227949501666787</v>
      </c>
      <c r="M18" s="88">
        <v>1.0227949501666787</v>
      </c>
      <c r="N18" s="88">
        <v>0.71285708647980617</v>
      </c>
      <c r="O18" s="88">
        <v>-1.7666458230151729</v>
      </c>
      <c r="P18" s="88">
        <v>-0.21695650458081148</v>
      </c>
      <c r="Q18" s="88">
        <v>-0.21695650458081148</v>
      </c>
      <c r="R18" s="88">
        <v>1.3327328138535499</v>
      </c>
      <c r="S18" s="88">
        <v>-1.4567079593283003</v>
      </c>
      <c r="T18" s="88">
        <v>9.2981359106061076E-2</v>
      </c>
      <c r="U18" s="88">
        <v>-0.52689436826768266</v>
      </c>
      <c r="W18" s="88">
        <f t="array" ref="W18:Y18">MMULT(G18:I18,$R$23:$T$25)</f>
        <v>0.36726068850938187</v>
      </c>
      <c r="X18" s="88">
        <v>2.141749936850148</v>
      </c>
      <c r="Y18" s="88">
        <v>-1.7624484103117457</v>
      </c>
      <c r="AA18" s="88">
        <f>MMULT(W18:Y18,M17:M19)</f>
        <v>1.8550996506800552</v>
      </c>
      <c r="AB18" s="88">
        <f t="shared" si="16"/>
        <v>0.61836655022668507</v>
      </c>
      <c r="AI18" s="88">
        <f t="shared" ref="AI18:AI25" si="20">(AD4-B$27)/B$28</f>
        <v>-1.8842558658704498</v>
      </c>
      <c r="AJ18" s="88">
        <f t="shared" si="17"/>
        <v>1.6426706775404225</v>
      </c>
      <c r="AK18" s="88">
        <f t="shared" si="18"/>
        <v>-5.9864786145704434</v>
      </c>
      <c r="AM18" s="88">
        <f t="array" ref="AM18:AO18">MMULT(AI18:AK18,$R$23:$T$25)</f>
        <v>16.227833538891232</v>
      </c>
      <c r="AN18" s="88">
        <v>15.223848538505855</v>
      </c>
      <c r="AO18" s="88">
        <v>-32.924123342416209</v>
      </c>
      <c r="AQ18" s="88">
        <f t="shared" ref="AQ18:AQ25" si="21">SUMPRODUCT(AI18:AK18,AM18:AO18)</f>
        <v>191.52993935034937</v>
      </c>
      <c r="AR18" s="88">
        <f t="shared" ref="AR18:AR25" si="22">AQ18/3</f>
        <v>63.843313116783122</v>
      </c>
      <c r="AS18" s="67" t="s">
        <v>491</v>
      </c>
    </row>
    <row r="19" spans="1:45">
      <c r="B19" s="67">
        <v>6.9</v>
      </c>
      <c r="C19" s="67">
        <v>3.1</v>
      </c>
      <c r="D19" s="67">
        <v>4.9000000000000004</v>
      </c>
      <c r="E19" s="67" t="s">
        <v>478</v>
      </c>
      <c r="G19" s="88">
        <f t="shared" si="19"/>
        <v>1.1595420713048934</v>
      </c>
      <c r="H19" s="88">
        <f t="shared" si="14"/>
        <v>0.71285708647980617</v>
      </c>
      <c r="I19" s="88">
        <f t="shared" si="15"/>
        <v>1.145427316145248</v>
      </c>
      <c r="K19" s="67" t="s">
        <v>476</v>
      </c>
      <c r="L19" s="88">
        <v>0.71319059307156929</v>
      </c>
      <c r="M19" s="88">
        <v>0.28095386999789063</v>
      </c>
      <c r="N19" s="88">
        <v>1.145427316145248</v>
      </c>
      <c r="O19" s="88">
        <v>-0.79963793768630498</v>
      </c>
      <c r="P19" s="88">
        <v>0.49707223153472896</v>
      </c>
      <c r="Q19" s="88">
        <v>0.28095386999789063</v>
      </c>
      <c r="R19" s="88">
        <v>0.71319059307156929</v>
      </c>
      <c r="S19" s="88">
        <v>-2.3124664684441791</v>
      </c>
      <c r="T19" s="88">
        <v>0.49707223153472896</v>
      </c>
      <c r="U19" s="88">
        <v>-1.0157562992231444</v>
      </c>
      <c r="W19" s="88">
        <f t="array" ref="W19:Y19">MMULT(G19:I19,$R$23:$T$25)</f>
        <v>0.90432900671908723</v>
      </c>
      <c r="X19" s="88">
        <v>-0.68812739838803183</v>
      </c>
      <c r="Y19" s="88">
        <v>0.87005276522400443</v>
      </c>
      <c r="AA19" s="88">
        <f>MMULT(W19:Y19,N17:N19)</f>
        <v>1.5546532410256091</v>
      </c>
      <c r="AB19" s="88">
        <f t="shared" si="16"/>
        <v>0.5182177470085364</v>
      </c>
      <c r="AI19" s="88">
        <f t="shared" si="20"/>
        <v>1.3044848302180045</v>
      </c>
      <c r="AJ19" s="88">
        <f t="shared" si="17"/>
        <v>1.0227949501666787</v>
      </c>
      <c r="AK19" s="88">
        <f t="shared" si="18"/>
        <v>0.71319059307156929</v>
      </c>
      <c r="AM19" s="88">
        <f t="array" ref="AM19:AO19">MMULT(AI19:AK19,$R$23:$T$25)</f>
        <v>3.6440944099575101</v>
      </c>
      <c r="AN19" s="88">
        <v>0.70246977555068524</v>
      </c>
      <c r="AO19" s="88">
        <v>-3.168998675206546</v>
      </c>
      <c r="AQ19" s="88">
        <f t="shared" si="21"/>
        <v>3.2120483721361888</v>
      </c>
      <c r="AR19" s="88">
        <f t="shared" si="22"/>
        <v>1.0706827907120628</v>
      </c>
      <c r="AS19" s="67" t="s">
        <v>489</v>
      </c>
    </row>
    <row r="20" spans="1:45">
      <c r="B20" s="67">
        <v>5.5</v>
      </c>
      <c r="C20" s="67">
        <v>2.2999999999999998</v>
      </c>
      <c r="D20" s="67">
        <v>4</v>
      </c>
      <c r="E20" s="67" t="s">
        <v>478</v>
      </c>
      <c r="G20" s="88">
        <f t="shared" si="19"/>
        <v>-0.86965655347866877</v>
      </c>
      <c r="H20" s="88">
        <f t="shared" si="14"/>
        <v>-1.7666458230151729</v>
      </c>
      <c r="I20" s="88">
        <f t="shared" si="15"/>
        <v>-0.79963793768630498</v>
      </c>
      <c r="W20" s="88">
        <f t="array" ref="W20:Y20">MMULT(G20:I20,$R$23:$T$25)</f>
        <v>0.17597699566549041</v>
      </c>
      <c r="X20" s="88">
        <v>-3.130968486112109</v>
      </c>
      <c r="Y20" s="88">
        <v>1.5377447927032444</v>
      </c>
      <c r="AA20" s="88">
        <f>MMULT(W20:Y20,O17:O19)</f>
        <v>4.1486337757150391</v>
      </c>
      <c r="AB20" s="88">
        <f t="shared" si="16"/>
        <v>1.3828779252383463</v>
      </c>
      <c r="AI20" s="88">
        <f t="shared" si="20"/>
        <v>0.43482827673933566</v>
      </c>
      <c r="AJ20" s="88">
        <f t="shared" si="17"/>
        <v>1.0227949501666787</v>
      </c>
      <c r="AK20" s="88">
        <f t="shared" si="18"/>
        <v>0.28095386999789063</v>
      </c>
      <c r="AM20" s="88">
        <f t="array" ref="AM20:AO20">MMULT(AI20:AK20,$R$23:$T$25)</f>
        <v>0.36726068850938187</v>
      </c>
      <c r="AN20" s="88">
        <v>2.141749936850148</v>
      </c>
      <c r="AO20" s="88">
        <v>-1.7624484103117457</v>
      </c>
      <c r="AQ20" s="88">
        <f t="shared" si="21"/>
        <v>1.8550996506800552</v>
      </c>
      <c r="AR20" s="88">
        <f t="shared" si="22"/>
        <v>0.61836655022668507</v>
      </c>
      <c r="AS20" s="67" t="s">
        <v>489</v>
      </c>
    </row>
    <row r="21" spans="1:45">
      <c r="B21" s="67">
        <v>6.5</v>
      </c>
      <c r="C21" s="67">
        <v>2.8</v>
      </c>
      <c r="D21" s="67">
        <v>4.5999999999999996</v>
      </c>
      <c r="E21" s="67" t="s">
        <v>478</v>
      </c>
      <c r="G21" s="88">
        <f t="shared" si="19"/>
        <v>0.5797710356524467</v>
      </c>
      <c r="H21" s="88">
        <f t="shared" si="14"/>
        <v>-0.21695650458081148</v>
      </c>
      <c r="I21" s="88">
        <f t="shared" si="15"/>
        <v>0.49707223153472896</v>
      </c>
      <c r="K21" s="106" t="s">
        <v>465</v>
      </c>
      <c r="L21" s="106"/>
      <c r="M21" s="106"/>
      <c r="N21" s="106"/>
      <c r="Q21" s="106" t="s">
        <v>485</v>
      </c>
      <c r="R21" s="106"/>
      <c r="S21" s="106"/>
      <c r="T21" s="106"/>
      <c r="W21" s="88">
        <f t="array" ref="W21:Y21">MMULT(G21:I21,$R$23:$T$25)</f>
        <v>1.3581942542095682</v>
      </c>
      <c r="X21" s="88">
        <v>-1.8909220860072988</v>
      </c>
      <c r="Y21" s="88">
        <v>0.76753048164508497</v>
      </c>
      <c r="AA21" s="88">
        <f>MMULT(W21:Y21,P17:P19)</f>
        <v>1.5792076248773315</v>
      </c>
      <c r="AB21" s="88">
        <f t="shared" si="16"/>
        <v>0.52640254162577715</v>
      </c>
      <c r="AI21" s="88">
        <f t="shared" si="20"/>
        <v>0.28988551782622335</v>
      </c>
      <c r="AJ21" s="88">
        <f t="shared" si="17"/>
        <v>1.3327328138535499</v>
      </c>
      <c r="AK21" s="88">
        <f t="shared" si="18"/>
        <v>3.5227292930504772</v>
      </c>
      <c r="AM21" s="88">
        <f t="array" ref="AM21:AO21">MMULT(AI21:AK21,$R$23:$T$25)</f>
        <v>-16.778441114300151</v>
      </c>
      <c r="AN21" s="88">
        <v>-1.5510924811224442</v>
      </c>
      <c r="AO21" s="88">
        <v>20.054557445173046</v>
      </c>
      <c r="AQ21" s="88">
        <f t="shared" si="21"/>
        <v>63.715758033625541</v>
      </c>
      <c r="AR21" s="88">
        <f t="shared" si="22"/>
        <v>21.238586011208515</v>
      </c>
      <c r="AS21" s="67" t="s">
        <v>491</v>
      </c>
    </row>
    <row r="22" spans="1:45">
      <c r="B22" s="67">
        <v>5.7</v>
      </c>
      <c r="C22" s="67">
        <v>2.8</v>
      </c>
      <c r="D22" s="67">
        <v>4.5</v>
      </c>
      <c r="E22" s="67" t="s">
        <v>478</v>
      </c>
      <c r="G22" s="88">
        <f t="shared" si="19"/>
        <v>-0.57977103565244537</v>
      </c>
      <c r="H22" s="88">
        <f t="shared" si="14"/>
        <v>-0.21695650458081148</v>
      </c>
      <c r="I22" s="88">
        <f t="shared" si="15"/>
        <v>0.28095386999789063</v>
      </c>
      <c r="L22" s="67" t="s">
        <v>474</v>
      </c>
      <c r="M22" s="67" t="s">
        <v>475</v>
      </c>
      <c r="N22" s="67" t="s">
        <v>476</v>
      </c>
      <c r="R22" s="67" t="s">
        <v>474</v>
      </c>
      <c r="S22" s="67" t="s">
        <v>475</v>
      </c>
      <c r="T22" s="67" t="s">
        <v>476</v>
      </c>
      <c r="W22" s="88">
        <f t="array" ref="W22:Y22">MMULT(G22:I22,$R$23:$T$25)</f>
        <v>-4.7838597610764886</v>
      </c>
      <c r="X22" s="88">
        <v>-0.49671202619397264</v>
      </c>
      <c r="Y22" s="88">
        <v>5.0379503827265637</v>
      </c>
      <c r="AA22" s="88">
        <f>MMULT(W22:Y22,Q17:Q19)</f>
        <v>4.2967398899660552</v>
      </c>
      <c r="AB22" s="88">
        <f t="shared" si="16"/>
        <v>1.4322466299886851</v>
      </c>
      <c r="AI22" s="88">
        <f t="shared" si="20"/>
        <v>-0.43482827673933439</v>
      </c>
      <c r="AJ22" s="88">
        <f t="shared" si="17"/>
        <v>-0.52689436826768266</v>
      </c>
      <c r="AK22" s="88">
        <f t="shared" si="18"/>
        <v>1.5776640392189245</v>
      </c>
      <c r="AM22" s="88">
        <f t="array" ref="AM22:AO22">MMULT(AI22:AK22,$R$23:$T$25)</f>
        <v>-9.9772320305426234</v>
      </c>
      <c r="AN22" s="88">
        <v>-3.4167295644044144</v>
      </c>
      <c r="AO22" s="88">
        <v>13.398190830635645</v>
      </c>
      <c r="AQ22" s="88">
        <f t="shared" si="21"/>
        <v>27.276482039934308</v>
      </c>
      <c r="AR22" s="88">
        <f t="shared" si="22"/>
        <v>9.0921606799781021</v>
      </c>
      <c r="AS22" s="67" t="s">
        <v>491</v>
      </c>
    </row>
    <row r="23" spans="1:45">
      <c r="B23" s="67">
        <v>6.3</v>
      </c>
      <c r="C23" s="67">
        <v>3.3</v>
      </c>
      <c r="D23" s="67">
        <v>4.7</v>
      </c>
      <c r="E23" s="67" t="s">
        <v>478</v>
      </c>
      <c r="G23" s="88">
        <f t="shared" si="19"/>
        <v>0.28988551782622335</v>
      </c>
      <c r="H23" s="88">
        <f t="shared" si="14"/>
        <v>1.3327328138535499</v>
      </c>
      <c r="I23" s="88">
        <f t="shared" si="15"/>
        <v>0.71319059307156929</v>
      </c>
      <c r="K23" s="67" t="s">
        <v>474</v>
      </c>
      <c r="L23" s="88">
        <f t="array" ref="L23:N25">MMULT(L17:U19,G17:I26)/10</f>
        <v>0.99999999999999223</v>
      </c>
      <c r="M23" s="88">
        <v>0.78166453354675425</v>
      </c>
      <c r="N23" s="88">
        <v>0.91155143477228484</v>
      </c>
      <c r="Q23" s="67" t="s">
        <v>474</v>
      </c>
      <c r="R23" s="88">
        <f t="array" ref="R23:T25">MINVERSE(L23:N25)</f>
        <v>6.2143665379817588</v>
      </c>
      <c r="S23" s="88">
        <v>-0.93080880234655849</v>
      </c>
      <c r="T23" s="88">
        <v>-4.9221427760630112</v>
      </c>
      <c r="W23" s="88">
        <f t="array" ref="W23:Y23">MMULT(G23:I23,$R$23:$T$25)</f>
        <v>-2.9494904981295038</v>
      </c>
      <c r="X23" s="88">
        <v>2.5425827298480064</v>
      </c>
      <c r="Y23" s="88">
        <v>1.3734049716435086</v>
      </c>
      <c r="AA23" s="88">
        <f>MMULT(W23:Y23,R17:R19)</f>
        <v>3.5130683618858529</v>
      </c>
      <c r="AB23" s="88">
        <f t="shared" si="16"/>
        <v>1.1710227872952843</v>
      </c>
      <c r="AI23" s="88">
        <f t="shared" si="20"/>
        <v>-1.7393131069573375</v>
      </c>
      <c r="AJ23" s="88">
        <f t="shared" si="17"/>
        <v>0.40291922279293363</v>
      </c>
      <c r="AK23" s="88">
        <f t="shared" si="18"/>
        <v>-6.4187153376441222</v>
      </c>
      <c r="AM23" s="88">
        <f t="array" ref="AM23:AO23">MMULT(AI23:AK23,$R$23:$T$25)</f>
        <v>20.410063400630804</v>
      </c>
      <c r="AN23" s="88">
        <v>12.135870795103131</v>
      </c>
      <c r="AO23" s="88">
        <v>-34.705179636658514</v>
      </c>
      <c r="AQ23" s="88">
        <f t="shared" si="21"/>
        <v>192.15295367164549</v>
      </c>
      <c r="AR23" s="88">
        <f t="shared" si="22"/>
        <v>64.050984557215159</v>
      </c>
      <c r="AS23" s="67" t="s">
        <v>491</v>
      </c>
    </row>
    <row r="24" spans="1:45">
      <c r="B24" s="67">
        <v>4.9000000000000004</v>
      </c>
      <c r="C24" s="67">
        <v>2.4</v>
      </c>
      <c r="D24" s="67">
        <v>3.3</v>
      </c>
      <c r="E24" s="67" t="s">
        <v>478</v>
      </c>
      <c r="G24" s="88">
        <f t="shared" si="19"/>
        <v>-1.7393131069573375</v>
      </c>
      <c r="H24" s="88">
        <f t="shared" si="14"/>
        <v>-1.4567079593283003</v>
      </c>
      <c r="I24" s="88">
        <f t="shared" si="15"/>
        <v>-2.3124664684441791</v>
      </c>
      <c r="K24" s="67" t="s">
        <v>475</v>
      </c>
      <c r="L24" s="88">
        <v>0.78166453354675425</v>
      </c>
      <c r="M24" s="88">
        <v>1.0000000000000033</v>
      </c>
      <c r="N24" s="88">
        <v>0.7977706656437793</v>
      </c>
      <c r="Q24" s="67" t="s">
        <v>475</v>
      </c>
      <c r="R24" s="88">
        <v>-0.93080880234655827</v>
      </c>
      <c r="S24" s="88">
        <v>2.8899824397487035</v>
      </c>
      <c r="T24" s="88">
        <v>-1.4570631153794689</v>
      </c>
      <c r="W24" s="88">
        <f t="array" ref="W24:Y24">MMULT(G24:I24,$R$23:$T$25)</f>
        <v>1.9294775425827666</v>
      </c>
      <c r="X24" s="88">
        <v>0.77851712441350784</v>
      </c>
      <c r="Y24" s="88">
        <v>-4.6923626153048161</v>
      </c>
      <c r="AA24" s="88">
        <f>MMULT(W24:Y24,S17:S19)</f>
        <v>6.3608935346728428</v>
      </c>
      <c r="AB24" s="88">
        <f t="shared" si="16"/>
        <v>2.1202978448909477</v>
      </c>
      <c r="AI24" s="88">
        <f t="shared" si="20"/>
        <v>-0.57977103565244537</v>
      </c>
      <c r="AJ24" s="88">
        <f t="shared" si="17"/>
        <v>-0.21695650458081148</v>
      </c>
      <c r="AK24" s="88">
        <f t="shared" si="18"/>
        <v>-0.58351957614946659</v>
      </c>
      <c r="AM24" s="88">
        <f t="array" ref="AM24:AO24">MMULT(AI24:AK24,$R$23:$T$25)</f>
        <v>-0.52879803302397788</v>
      </c>
      <c r="AN24" s="88">
        <v>0.76288034641232116</v>
      </c>
      <c r="AO24" s="88">
        <v>-0.7100965322056072</v>
      </c>
      <c r="AQ24" s="88">
        <f t="shared" si="21"/>
        <v>0.55542515738409381</v>
      </c>
      <c r="AR24" s="88">
        <f t="shared" si="22"/>
        <v>0.18514171912803126</v>
      </c>
      <c r="AS24" s="67" t="s">
        <v>489</v>
      </c>
    </row>
    <row r="25" spans="1:45">
      <c r="B25" s="67">
        <v>6.6</v>
      </c>
      <c r="C25" s="67">
        <v>2.9</v>
      </c>
      <c r="D25" s="67">
        <v>4.5999999999999996</v>
      </c>
      <c r="E25" s="67" t="s">
        <v>478</v>
      </c>
      <c r="G25" s="88">
        <f t="shared" si="19"/>
        <v>0.72471379456555773</v>
      </c>
      <c r="H25" s="88">
        <f t="shared" si="14"/>
        <v>9.2981359106061076E-2</v>
      </c>
      <c r="I25" s="88">
        <f t="shared" si="15"/>
        <v>0.49707223153472896</v>
      </c>
      <c r="K25" s="67" t="s">
        <v>476</v>
      </c>
      <c r="L25" s="88">
        <v>0.91155143477228484</v>
      </c>
      <c r="M25" s="88">
        <v>0.7977706656437793</v>
      </c>
      <c r="N25" s="88">
        <v>1.0000000000000071</v>
      </c>
      <c r="Q25" s="67" t="s">
        <v>476</v>
      </c>
      <c r="R25" s="88">
        <v>-4.9221427760630112</v>
      </c>
      <c r="S25" s="88">
        <v>-1.4570631153794689</v>
      </c>
      <c r="T25" s="88">
        <v>6.649188521115506</v>
      </c>
      <c r="W25" s="88">
        <f t="array" ref="W25:Y25">MMULT(G25:I25,$R$23:$T$25)</f>
        <v>1.9704287934217342</v>
      </c>
      <c r="X25" s="88">
        <v>-1.1301210983717287</v>
      </c>
      <c r="Y25" s="88">
        <v>-0.39749750131937889</v>
      </c>
      <c r="AA25" s="88">
        <f>MMULT(W25:Y25,T17:T19)</f>
        <v>1.1253317621105581</v>
      </c>
      <c r="AB25" s="88">
        <f t="shared" si="16"/>
        <v>0.37511058737018604</v>
      </c>
      <c r="AI25" s="88">
        <f t="shared" si="20"/>
        <v>0.28988551782622335</v>
      </c>
      <c r="AJ25" s="88">
        <f t="shared" si="17"/>
        <v>1.3327328138535499</v>
      </c>
      <c r="AK25" s="88">
        <f t="shared" si="18"/>
        <v>3.5227292930504772</v>
      </c>
      <c r="AM25" s="88">
        <f t="array" ref="AM25:AO25">MMULT(AI25:AK25,$R$23:$T$25)</f>
        <v>-16.778441114300151</v>
      </c>
      <c r="AN25" s="88">
        <v>-1.5510924811224442</v>
      </c>
      <c r="AO25" s="88">
        <v>20.054557445173046</v>
      </c>
      <c r="AQ25" s="88">
        <f t="shared" si="21"/>
        <v>63.715758033625541</v>
      </c>
      <c r="AR25" s="88">
        <f t="shared" si="22"/>
        <v>21.238586011208515</v>
      </c>
      <c r="AS25" s="67" t="s">
        <v>491</v>
      </c>
    </row>
    <row r="26" spans="1:45">
      <c r="B26" s="67">
        <v>5.2</v>
      </c>
      <c r="C26" s="67">
        <v>2.7</v>
      </c>
      <c r="D26" s="67">
        <v>3.9</v>
      </c>
      <c r="E26" s="67" t="s">
        <v>478</v>
      </c>
      <c r="G26" s="88">
        <f t="shared" si="19"/>
        <v>-1.3044848302180032</v>
      </c>
      <c r="H26" s="88">
        <f t="shared" si="14"/>
        <v>-0.52689436826768266</v>
      </c>
      <c r="I26" s="88">
        <f t="shared" si="15"/>
        <v>-1.0157562992231444</v>
      </c>
      <c r="W26" s="88">
        <f t="array" ref="W26:Y26">MMULT(G26:I26,$R$23:$T$25)</f>
        <v>-2.6164114318594871</v>
      </c>
      <c r="X26" s="88">
        <v>1.1715315284107788</v>
      </c>
      <c r="Y26" s="88">
        <v>0.43462380820003599</v>
      </c>
      <c r="AA26" s="88">
        <f>MMULT(W26:Y26,U17:U19)</f>
        <v>2.3543237869304576</v>
      </c>
      <c r="AB26" s="88">
        <f t="shared" si="16"/>
        <v>0.78477459564348584</v>
      </c>
    </row>
    <row r="27" spans="1:45">
      <c r="A27" s="67" t="s">
        <v>480</v>
      </c>
      <c r="B27" s="88">
        <f>AVERAGE(B17:B26)</f>
        <v>6.1</v>
      </c>
      <c r="C27" s="88">
        <f t="shared" ref="C27" si="23">AVERAGE(C17:C26)</f>
        <v>2.87</v>
      </c>
      <c r="D27" s="88">
        <f t="shared" ref="D27" si="24">AVERAGE(D17:D26)</f>
        <v>4.37</v>
      </c>
      <c r="F27" s="67" t="s">
        <v>480</v>
      </c>
      <c r="G27" s="88">
        <f>AVERAGE(G17:G26)</f>
        <v>6.4392935428259077E-16</v>
      </c>
      <c r="H27" s="88">
        <f t="shared" ref="H27" si="25">AVERAGE(H17:H26)</f>
        <v>-4.5519144009631414E-16</v>
      </c>
      <c r="I27" s="88">
        <f t="shared" ref="I27" si="26">AVERAGE(I17:I26)</f>
        <v>-2.8865798640254071E-16</v>
      </c>
    </row>
    <row r="28" spans="1:45" ht="18" thickBot="1">
      <c r="A28" s="67" t="s">
        <v>481</v>
      </c>
      <c r="B28" s="88">
        <f>_xlfn.STDEV.P(B17:B26)</f>
        <v>0.68992753242641625</v>
      </c>
      <c r="C28" s="88">
        <f t="shared" ref="C28:D28" si="27">_xlfn.STDEV.P(C17:C26)</f>
        <v>0.3226453160980331</v>
      </c>
      <c r="D28" s="88">
        <f t="shared" si="27"/>
        <v>0.46270941205036942</v>
      </c>
      <c r="F28" s="67" t="s">
        <v>481</v>
      </c>
      <c r="G28" s="88">
        <f>_xlfn.STDEV.P(G17:G26)</f>
        <v>0.99999999999999611</v>
      </c>
      <c r="H28" s="88">
        <f t="shared" ref="H28:I28" si="28">_xlfn.STDEV.P(H17:H26)</f>
        <v>1.0000000000000018</v>
      </c>
      <c r="I28" s="88">
        <f t="shared" si="28"/>
        <v>1.0000000000000036</v>
      </c>
    </row>
    <row r="29" spans="1:45" ht="18" thickBot="1">
      <c r="AF29" s="70"/>
      <c r="AG29" s="70"/>
      <c r="AS29" s="70"/>
    </row>
  </sheetData>
  <mergeCells count="17">
    <mergeCell ref="G1:I1"/>
    <mergeCell ref="B1:E1"/>
    <mergeCell ref="B15:E15"/>
    <mergeCell ref="G15:I15"/>
    <mergeCell ref="K2:U2"/>
    <mergeCell ref="K16:U16"/>
    <mergeCell ref="K7:N7"/>
    <mergeCell ref="Q7:T7"/>
    <mergeCell ref="K21:N21"/>
    <mergeCell ref="Q21:T21"/>
    <mergeCell ref="W1:Y1"/>
    <mergeCell ref="W15:Y15"/>
    <mergeCell ref="AD1:AG1"/>
    <mergeCell ref="AI1:AK1"/>
    <mergeCell ref="AM1:AO1"/>
    <mergeCell ref="AI15:AK15"/>
    <mergeCell ref="AM15:AO1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"/>
  <sheetViews>
    <sheetView zoomScale="70" zoomScaleNormal="70" workbookViewId="0">
      <selection activeCell="G19" sqref="G19"/>
    </sheetView>
  </sheetViews>
  <sheetFormatPr defaultRowHeight="17.399999999999999"/>
  <cols>
    <col min="1" max="1" width="9.3984375" style="5" bestFit="1" customWidth="1"/>
    <col min="2" max="2" width="20" style="5" bestFit="1" customWidth="1"/>
    <col min="3" max="3" width="13.19921875" style="5" bestFit="1" customWidth="1"/>
    <col min="4" max="4" width="4.69921875" style="5" customWidth="1"/>
    <col min="5" max="5" width="12.796875" style="5" customWidth="1"/>
    <col min="6" max="6" width="23.69921875" style="5" bestFit="1" customWidth="1"/>
    <col min="7" max="7" width="20.19921875" style="5" customWidth="1"/>
    <col min="8" max="8" width="30.5" style="5" bestFit="1" customWidth="1"/>
    <col min="9" max="9" width="14.5" style="5" customWidth="1"/>
    <col min="10" max="10" width="20" style="5" bestFit="1" customWidth="1"/>
    <col min="11" max="11" width="14.5" style="5" customWidth="1"/>
    <col min="12" max="12" width="8.796875" style="5"/>
    <col min="13" max="13" width="11.8984375" style="5" bestFit="1" customWidth="1"/>
    <col min="14" max="14" width="20" style="5" bestFit="1" customWidth="1"/>
    <col min="15" max="15" width="12.796875" style="5" bestFit="1" customWidth="1"/>
    <col min="16" max="16384" width="8.796875" style="5"/>
  </cols>
  <sheetData>
    <row r="1" spans="1:15">
      <c r="B1" s="5" t="s">
        <v>510</v>
      </c>
      <c r="C1" s="5" t="s">
        <v>245</v>
      </c>
      <c r="F1" s="5" t="s">
        <v>516</v>
      </c>
      <c r="G1" s="5" t="s">
        <v>246</v>
      </c>
      <c r="J1" s="5" t="s">
        <v>510</v>
      </c>
      <c r="K1" s="5" t="s">
        <v>245</v>
      </c>
      <c r="N1" s="5" t="s">
        <v>510</v>
      </c>
      <c r="O1" s="5" t="s">
        <v>245</v>
      </c>
    </row>
    <row r="2" spans="1:15">
      <c r="B2" s="5">
        <v>557</v>
      </c>
      <c r="C2" s="5">
        <v>75.73</v>
      </c>
      <c r="F2" s="84">
        <f t="shared" ref="F2:F13" si="0">$B$19*C2+$B$20</f>
        <v>467.56629282848627</v>
      </c>
      <c r="G2" s="84">
        <f>($B2-F2)^2</f>
        <v>7998.3879784400669</v>
      </c>
      <c r="H2" s="19"/>
      <c r="J2" s="5">
        <v>557</v>
      </c>
      <c r="K2" s="5">
        <v>75.73</v>
      </c>
      <c r="N2" s="5">
        <v>557</v>
      </c>
      <c r="O2" s="5">
        <v>75.73</v>
      </c>
    </row>
    <row r="3" spans="1:15">
      <c r="B3" s="5">
        <v>149</v>
      </c>
      <c r="C3" s="5">
        <v>35.11</v>
      </c>
      <c r="F3" s="84">
        <f t="shared" si="0"/>
        <v>189.25376649068934</v>
      </c>
      <c r="G3" s="84">
        <f t="shared" ref="G3:G13" si="1">($B3-F3)^2</f>
        <v>1620.3657166869443</v>
      </c>
      <c r="H3" s="19"/>
      <c r="J3" s="5">
        <v>149</v>
      </c>
      <c r="K3" s="5">
        <v>35.11</v>
      </c>
      <c r="N3" s="5">
        <v>149</v>
      </c>
      <c r="O3" s="5">
        <v>35.11</v>
      </c>
    </row>
    <row r="4" spans="1:15">
      <c r="B4" s="5">
        <v>326</v>
      </c>
      <c r="C4" s="5">
        <v>57.24</v>
      </c>
      <c r="F4" s="84">
        <f t="shared" si="0"/>
        <v>340.87996560086771</v>
      </c>
      <c r="G4" s="84">
        <f t="shared" si="1"/>
        <v>221.41337628300624</v>
      </c>
      <c r="H4" s="19"/>
      <c r="J4" s="5">
        <v>326</v>
      </c>
      <c r="K4" s="5">
        <v>57.24</v>
      </c>
      <c r="N4" s="5">
        <v>326</v>
      </c>
      <c r="O4" s="5">
        <v>57.24</v>
      </c>
    </row>
    <row r="5" spans="1:15">
      <c r="B5" s="5">
        <v>486</v>
      </c>
      <c r="C5" s="5">
        <v>94.62</v>
      </c>
      <c r="F5" s="84">
        <f t="shared" si="0"/>
        <v>596.99326531792462</v>
      </c>
      <c r="G5" s="84">
        <f t="shared" si="1"/>
        <v>12319.504945935209</v>
      </c>
      <c r="H5" s="19"/>
      <c r="J5" s="5">
        <v>486</v>
      </c>
      <c r="K5" s="5">
        <v>94.62</v>
      </c>
      <c r="N5" s="5">
        <v>486</v>
      </c>
      <c r="O5" s="5">
        <v>94.62</v>
      </c>
    </row>
    <row r="6" spans="1:15">
      <c r="B6" s="5">
        <v>282</v>
      </c>
      <c r="C6" s="5">
        <v>64.349999999999994</v>
      </c>
      <c r="F6" s="84">
        <f t="shared" si="0"/>
        <v>389.59493512971397</v>
      </c>
      <c r="G6" s="84">
        <f t="shared" si="1"/>
        <v>11576.670065567358</v>
      </c>
      <c r="H6" s="19"/>
      <c r="J6" s="5">
        <v>282</v>
      </c>
      <c r="K6" s="5">
        <v>64.349999999999994</v>
      </c>
      <c r="N6" s="5">
        <v>282</v>
      </c>
      <c r="O6" s="5">
        <v>64.349999999999994</v>
      </c>
    </row>
    <row r="7" spans="1:15">
      <c r="B7" s="5">
        <v>547</v>
      </c>
      <c r="C7" s="5">
        <v>73.22</v>
      </c>
      <c r="F7" s="84">
        <f t="shared" si="0"/>
        <v>450.36874381056725</v>
      </c>
      <c r="G7" s="84">
        <f t="shared" si="1"/>
        <v>9337.599672747785</v>
      </c>
      <c r="H7" s="19"/>
      <c r="J7" s="5">
        <v>547</v>
      </c>
      <c r="K7" s="5">
        <v>73.22</v>
      </c>
      <c r="N7" s="5">
        <v>547</v>
      </c>
      <c r="O7" s="5">
        <v>73.22</v>
      </c>
    </row>
    <row r="8" spans="1:15">
      <c r="B8" s="5">
        <v>538</v>
      </c>
      <c r="C8" s="5">
        <v>72.930000000000007</v>
      </c>
      <c r="F8" s="84">
        <f t="shared" si="0"/>
        <v>448.38177599574794</v>
      </c>
      <c r="G8" s="84">
        <f t="shared" si="1"/>
        <v>8031.4260736762999</v>
      </c>
      <c r="H8" s="19"/>
      <c r="J8" s="5">
        <v>538</v>
      </c>
      <c r="K8" s="5">
        <v>72.930000000000007</v>
      </c>
      <c r="N8" s="5">
        <v>538</v>
      </c>
      <c r="O8" s="5">
        <v>72.930000000000007</v>
      </c>
    </row>
    <row r="9" spans="1:15">
      <c r="B9" s="5">
        <v>393</v>
      </c>
      <c r="C9" s="5">
        <v>65.52</v>
      </c>
      <c r="F9" s="84">
        <f t="shared" si="0"/>
        <v>397.61132252053676</v>
      </c>
      <c r="G9" s="84">
        <f t="shared" si="1"/>
        <v>21.264295388409497</v>
      </c>
      <c r="H9" s="19"/>
      <c r="J9" s="5">
        <v>393</v>
      </c>
      <c r="K9" s="5">
        <v>65.52</v>
      </c>
      <c r="N9" s="5">
        <v>393</v>
      </c>
      <c r="O9" s="5">
        <v>65.52</v>
      </c>
    </row>
    <row r="10" spans="1:15">
      <c r="B10" s="5">
        <v>484</v>
      </c>
      <c r="C10" s="5">
        <v>80.86</v>
      </c>
      <c r="F10" s="84">
        <f t="shared" si="0"/>
        <v>502.71506831132473</v>
      </c>
      <c r="G10" s="84">
        <f t="shared" si="1"/>
        <v>350.25378189755099</v>
      </c>
      <c r="H10" s="19"/>
      <c r="J10" s="5">
        <v>484</v>
      </c>
      <c r="K10" s="5">
        <v>80.86</v>
      </c>
      <c r="N10" s="5">
        <v>484</v>
      </c>
      <c r="O10" s="5">
        <v>80.86</v>
      </c>
    </row>
    <row r="11" spans="1:15">
      <c r="B11" s="5">
        <v>253</v>
      </c>
      <c r="C11" s="5">
        <v>61.83</v>
      </c>
      <c r="F11" s="84">
        <f t="shared" si="0"/>
        <v>372.32886998024946</v>
      </c>
      <c r="G11" s="84">
        <f t="shared" si="1"/>
        <v>14239.379210763282</v>
      </c>
      <c r="H11" s="19"/>
      <c r="J11" s="5">
        <v>253</v>
      </c>
      <c r="K11" s="5">
        <v>61.83</v>
      </c>
      <c r="N11" s="5">
        <v>253</v>
      </c>
      <c r="O11" s="5">
        <v>61.83</v>
      </c>
    </row>
    <row r="12" spans="1:15">
      <c r="B12" s="5">
        <v>270</v>
      </c>
      <c r="C12" s="5">
        <v>47.83</v>
      </c>
      <c r="F12" s="84">
        <f t="shared" si="0"/>
        <v>276.40628581655778</v>
      </c>
      <c r="G12" s="84">
        <f t="shared" si="1"/>
        <v>41.040497963429431</v>
      </c>
      <c r="H12" s="19"/>
      <c r="J12" s="5">
        <v>270</v>
      </c>
      <c r="K12" s="5">
        <v>47.83</v>
      </c>
      <c r="N12" s="5">
        <v>270</v>
      </c>
      <c r="O12" s="5">
        <v>47.83</v>
      </c>
    </row>
    <row r="13" spans="1:15">
      <c r="B13" s="5">
        <v>506</v>
      </c>
      <c r="C13" s="5">
        <v>59.87</v>
      </c>
      <c r="F13" s="84">
        <f t="shared" si="0"/>
        <v>358.89970819733264</v>
      </c>
      <c r="G13" s="84">
        <f t="shared" si="1"/>
        <v>21638.495848429884</v>
      </c>
      <c r="H13" s="19"/>
      <c r="J13" s="5">
        <v>506</v>
      </c>
      <c r="K13" s="5">
        <v>59.87</v>
      </c>
      <c r="N13" s="5">
        <v>506</v>
      </c>
      <c r="O13" s="5">
        <v>59.87</v>
      </c>
    </row>
    <row r="14" spans="1:15">
      <c r="F14" s="19"/>
      <c r="G14" s="19"/>
      <c r="H14" s="19"/>
    </row>
    <row r="15" spans="1:15">
      <c r="A15" s="5" t="s">
        <v>247</v>
      </c>
      <c r="B15" s="84">
        <f>AVERAGE(B2:B13)</f>
        <v>399.25</v>
      </c>
      <c r="C15" s="84">
        <f>AVERAGE(C2:C13)</f>
        <v>65.759166666666687</v>
      </c>
      <c r="D15" s="19"/>
      <c r="F15" s="5" t="s">
        <v>504</v>
      </c>
      <c r="G15" s="84">
        <f>SQRT(AVERAGE(G2:G13))</f>
        <v>85.340397557750663</v>
      </c>
      <c r="I15" s="5" t="s">
        <v>500</v>
      </c>
      <c r="J15" s="84">
        <f>SUMPRODUCT(J2:J13,K2:K13)</f>
        <v>333229.84999999992</v>
      </c>
      <c r="K15" s="19"/>
      <c r="M15" s="5" t="s">
        <v>511</v>
      </c>
      <c r="N15" s="84">
        <f>SUMPRODUCT(N2:N13,O2:O13)</f>
        <v>333229.84999999992</v>
      </c>
      <c r="O15" s="19"/>
    </row>
    <row r="16" spans="1:15">
      <c r="A16" s="5" t="s">
        <v>248</v>
      </c>
      <c r="B16" s="84">
        <f>_xlfn.VAR.S(B2:B13)</f>
        <v>19267.477272727272</v>
      </c>
      <c r="C16" s="84">
        <f>_xlfn.VAR.S(C2:C13)</f>
        <v>241.18649924242081</v>
      </c>
      <c r="D16" s="19"/>
      <c r="I16" s="5" t="s">
        <v>501</v>
      </c>
      <c r="J16" s="84">
        <f>SUMSQ(K2:K13)</f>
        <v>54544.267499999994</v>
      </c>
      <c r="K16" s="19"/>
      <c r="M16" s="5" t="s">
        <v>512</v>
      </c>
      <c r="N16" s="84">
        <f>SUM(O2:O13)*40</f>
        <v>31564.400000000009</v>
      </c>
      <c r="O16" s="19"/>
    </row>
    <row r="17" spans="1:15">
      <c r="A17" s="5" t="s">
        <v>249</v>
      </c>
      <c r="B17" s="84">
        <f>_xlfn.COVARIANCE.S(B2:B13,C2:C13)</f>
        <v>1652.5165909090908</v>
      </c>
      <c r="C17" s="19"/>
      <c r="D17" s="19"/>
      <c r="F17" s="5" t="s">
        <v>502</v>
      </c>
      <c r="G17" s="90">
        <f>_xlfn.VAR.S(F2:F13)</f>
        <v>11322.404412383998</v>
      </c>
      <c r="K17" s="19"/>
      <c r="N17" s="19"/>
      <c r="O17" s="19"/>
    </row>
    <row r="18" spans="1:15">
      <c r="F18" s="5" t="s">
        <v>252</v>
      </c>
      <c r="G18" s="90">
        <f>G17/$B$16</f>
        <v>0.58764332518043938</v>
      </c>
      <c r="I18" s="5" t="s">
        <v>250</v>
      </c>
      <c r="J18" s="84">
        <f>J15/J16</f>
        <v>6.1093468713279533</v>
      </c>
      <c r="M18" s="5" t="s">
        <v>513</v>
      </c>
      <c r="N18" s="84">
        <f>SUMSQ(O2:O13)</f>
        <v>54544.267499999994</v>
      </c>
    </row>
    <row r="19" spans="1:15">
      <c r="A19" s="5" t="s">
        <v>250</v>
      </c>
      <c r="B19" s="84">
        <f>B17/C16</f>
        <v>6.8516131545494066</v>
      </c>
      <c r="F19" s="19" t="s">
        <v>503</v>
      </c>
      <c r="G19" s="90">
        <f>CORREL(B2:B13,F2:F13)</f>
        <v>0.76657897517504636</v>
      </c>
      <c r="H19" s="72"/>
      <c r="J19" s="19"/>
      <c r="N19" s="19"/>
    </row>
    <row r="20" spans="1:15">
      <c r="A20" s="5" t="s">
        <v>251</v>
      </c>
      <c r="B20" s="84">
        <f>B15-B19*C15</f>
        <v>-51.306371365540315</v>
      </c>
      <c r="H20" s="19"/>
      <c r="J20" s="19"/>
      <c r="M20" s="5" t="s">
        <v>514</v>
      </c>
      <c r="N20" s="84">
        <f>(N15-N16)/N18</f>
        <v>5.530653610849205</v>
      </c>
    </row>
    <row r="21" spans="1:15">
      <c r="H21" s="19"/>
      <c r="M21" s="5" t="s">
        <v>515</v>
      </c>
      <c r="N21" s="89">
        <v>40</v>
      </c>
    </row>
    <row r="22" spans="1:15">
      <c r="B22" s="19"/>
      <c r="C22" s="19"/>
      <c r="H22" s="19"/>
    </row>
    <row r="23" spans="1:15">
      <c r="B23" s="19"/>
      <c r="C23" s="19"/>
      <c r="F23" s="19"/>
      <c r="G23" s="19"/>
      <c r="H23" s="73"/>
    </row>
    <row r="24" spans="1:15">
      <c r="B24" s="19"/>
      <c r="C24" s="19"/>
      <c r="F24" s="19"/>
      <c r="G24" s="19"/>
    </row>
    <row r="25" spans="1:15">
      <c r="B25" s="19"/>
      <c r="C25" s="19"/>
      <c r="F25" s="19"/>
      <c r="G25" s="19"/>
    </row>
    <row r="26" spans="1:15">
      <c r="B26" s="19"/>
      <c r="C26" s="19"/>
      <c r="F26" s="19"/>
      <c r="G26" s="19"/>
    </row>
    <row r="27" spans="1:15">
      <c r="B27" s="19"/>
      <c r="C27" s="19"/>
      <c r="F27" s="19"/>
      <c r="G27" s="19"/>
    </row>
    <row r="28" spans="1:15">
      <c r="B28" s="19"/>
      <c r="C28" s="19"/>
      <c r="F28" s="19"/>
      <c r="G28" s="19"/>
    </row>
    <row r="29" spans="1:15">
      <c r="B29" s="19"/>
      <c r="C29" s="19"/>
      <c r="F29" s="19"/>
      <c r="G29" s="19"/>
    </row>
    <row r="30" spans="1:15">
      <c r="B30" s="19"/>
      <c r="C30" s="19"/>
      <c r="F30" s="19"/>
      <c r="G30" s="19"/>
    </row>
    <row r="31" spans="1:15">
      <c r="B31" s="19"/>
      <c r="C31" s="19"/>
      <c r="F31" s="19"/>
      <c r="G31" s="19"/>
    </row>
    <row r="32" spans="1:15">
      <c r="B32" s="19"/>
      <c r="C32" s="19"/>
      <c r="F32" s="19"/>
      <c r="G32" s="19"/>
    </row>
    <row r="33" spans="2:7">
      <c r="B33" s="19"/>
      <c r="C33" s="19"/>
      <c r="F33" s="19"/>
      <c r="G33" s="19"/>
    </row>
    <row r="34" spans="2:7">
      <c r="B34" s="19"/>
      <c r="C34" s="19"/>
      <c r="F34" s="19"/>
      <c r="G34" s="19"/>
    </row>
    <row r="36" spans="2:7">
      <c r="F36" s="19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3"/>
  <sheetViews>
    <sheetView topLeftCell="J1" zoomScale="55" zoomScaleNormal="55" workbookViewId="0">
      <selection activeCell="AQ23" sqref="AQ23"/>
    </sheetView>
  </sheetViews>
  <sheetFormatPr defaultRowHeight="17.399999999999999"/>
  <cols>
    <col min="1" max="1" width="9.09765625" style="6" bestFit="1" customWidth="1"/>
    <col min="2" max="2" width="20.09765625" style="6" bestFit="1" customWidth="1"/>
    <col min="3" max="3" width="9.5" style="6" bestFit="1" customWidth="1"/>
    <col min="4" max="4" width="9.796875" style="6" bestFit="1" customWidth="1"/>
    <col min="5" max="5" width="18.09765625" style="6" bestFit="1" customWidth="1"/>
    <col min="6" max="6" width="6.796875" style="6" bestFit="1" customWidth="1"/>
    <col min="7" max="7" width="6.296875" style="6" customWidth="1"/>
    <col min="8" max="11" width="13.796875" style="6" bestFit="1" customWidth="1"/>
    <col min="12" max="12" width="6.69921875" style="6" bestFit="1" customWidth="1"/>
    <col min="13" max="13" width="10.69921875" style="6" bestFit="1" customWidth="1"/>
    <col min="14" max="15" width="6.69921875" style="6" bestFit="1" customWidth="1"/>
    <col min="16" max="16" width="9.5" style="6" bestFit="1" customWidth="1"/>
    <col min="17" max="20" width="6.69921875" style="6" bestFit="1" customWidth="1"/>
    <col min="21" max="21" width="4.69921875" style="6" bestFit="1" customWidth="1"/>
    <col min="22" max="22" width="9.09765625" style="6" bestFit="1" customWidth="1"/>
    <col min="23" max="23" width="20.09765625" style="6" bestFit="1" customWidth="1"/>
    <col min="24" max="24" width="9.5" style="6" bestFit="1" customWidth="1"/>
    <col min="25" max="25" width="9.796875" style="6" bestFit="1" customWidth="1"/>
    <col min="26" max="26" width="18.09765625" style="6" bestFit="1" customWidth="1"/>
    <col min="27" max="27" width="24.09765625" style="6" bestFit="1" customWidth="1"/>
    <col min="28" max="29" width="7.5" style="6" bestFit="1" customWidth="1"/>
    <col min="30" max="30" width="6.796875" style="6" bestFit="1" customWidth="1"/>
    <col min="31" max="32" width="8.796875" style="6"/>
    <col min="33" max="33" width="7.796875" style="6" bestFit="1" customWidth="1"/>
    <col min="34" max="36" width="9.796875" style="6" bestFit="1" customWidth="1"/>
    <col min="37" max="39" width="7.796875" style="6" bestFit="1" customWidth="1"/>
    <col min="40" max="40" width="6.796875" style="6" bestFit="1" customWidth="1"/>
    <col min="41" max="41" width="11" style="6" bestFit="1" customWidth="1"/>
    <col min="42" max="42" width="6.796875" style="6" bestFit="1" customWidth="1"/>
    <col min="43" max="43" width="9.5" style="6" bestFit="1" customWidth="1"/>
    <col min="44" max="44" width="6.796875" style="6" bestFit="1" customWidth="1"/>
    <col min="45" max="16384" width="8.796875" style="6"/>
  </cols>
  <sheetData>
    <row r="1" spans="1:44">
      <c r="C1" s="18" t="s">
        <v>253</v>
      </c>
      <c r="D1" s="18" t="s">
        <v>254</v>
      </c>
      <c r="E1" s="18" t="s">
        <v>255</v>
      </c>
      <c r="F1" s="18" t="s">
        <v>256</v>
      </c>
      <c r="X1" s="75" t="s">
        <v>253</v>
      </c>
      <c r="Y1" s="75" t="s">
        <v>254</v>
      </c>
      <c r="Z1" s="75" t="s">
        <v>255</v>
      </c>
      <c r="AA1" s="75" t="s">
        <v>256</v>
      </c>
      <c r="AB1" s="79" t="s">
        <v>533</v>
      </c>
      <c r="AC1" s="79" t="s">
        <v>534</v>
      </c>
      <c r="AD1" s="79" t="s">
        <v>535</v>
      </c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>
      <c r="C2" s="20">
        <f>P17</f>
        <v>-1557.4408039023401</v>
      </c>
      <c r="D2" s="20">
        <f>P18</f>
        <v>6.5972853435521301</v>
      </c>
      <c r="E2" s="20">
        <f>P19</f>
        <v>2.3413203920807746</v>
      </c>
      <c r="F2" s="20">
        <f>P20</f>
        <v>46.337270901765805</v>
      </c>
      <c r="X2" s="20">
        <f>AQ23</f>
        <v>-1233.0457792740606</v>
      </c>
      <c r="Y2" s="20">
        <f>AQ24</f>
        <v>4.508085844385155</v>
      </c>
      <c r="Z2" s="20">
        <f>AQ25</f>
        <v>-0.25885114810494692</v>
      </c>
      <c r="AA2" s="20">
        <f>AQ26</f>
        <v>44.619393090476905</v>
      </c>
      <c r="AB2" s="20">
        <f>AQ27</f>
        <v>-49.836700238715366</v>
      </c>
      <c r="AC2" s="20">
        <f>AQ28</f>
        <v>-37.511099113672401</v>
      </c>
      <c r="AD2" s="20">
        <f>AQ29</f>
        <v>19.048472173089976</v>
      </c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</row>
    <row r="3" spans="1:44">
      <c r="A3" s="18" t="s">
        <v>257</v>
      </c>
      <c r="B3" s="18" t="s">
        <v>258</v>
      </c>
      <c r="C3" s="107" t="s">
        <v>259</v>
      </c>
      <c r="D3" s="107"/>
      <c r="E3" s="107"/>
      <c r="F3" s="107"/>
      <c r="H3" s="107" t="s">
        <v>260</v>
      </c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V3" s="75" t="s">
        <v>517</v>
      </c>
      <c r="W3" s="75" t="s">
        <v>518</v>
      </c>
      <c r="X3" s="107" t="s">
        <v>519</v>
      </c>
      <c r="Y3" s="107"/>
      <c r="Z3" s="107"/>
      <c r="AA3" s="107"/>
      <c r="AB3" s="107"/>
      <c r="AC3" s="107"/>
      <c r="AD3" s="10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</row>
    <row r="4" spans="1:44">
      <c r="A4" s="6" t="s">
        <v>257</v>
      </c>
      <c r="B4" s="6" t="s">
        <v>510</v>
      </c>
      <c r="C4" s="6" t="s">
        <v>261</v>
      </c>
      <c r="D4" s="6" t="s">
        <v>262</v>
      </c>
      <c r="E4" s="6" t="s">
        <v>263</v>
      </c>
      <c r="F4" s="6" t="s">
        <v>224</v>
      </c>
      <c r="H4" s="21">
        <f t="array" ref="H4:S7">TRANSPOSE(C5:F16)</f>
        <v>1</v>
      </c>
      <c r="I4" s="21">
        <v>1</v>
      </c>
      <c r="J4" s="21">
        <v>1</v>
      </c>
      <c r="K4" s="21">
        <v>1</v>
      </c>
      <c r="L4" s="21">
        <v>1</v>
      </c>
      <c r="M4" s="21">
        <v>1</v>
      </c>
      <c r="N4" s="21">
        <v>1</v>
      </c>
      <c r="O4" s="21">
        <v>1</v>
      </c>
      <c r="P4" s="21">
        <v>1</v>
      </c>
      <c r="Q4" s="21">
        <v>1</v>
      </c>
      <c r="R4" s="21">
        <v>1</v>
      </c>
      <c r="S4" s="21">
        <v>1</v>
      </c>
      <c r="V4" s="6" t="s">
        <v>517</v>
      </c>
      <c r="W4" s="6" t="s">
        <v>551</v>
      </c>
      <c r="X4" s="6" t="s">
        <v>520</v>
      </c>
      <c r="Y4" s="6" t="s">
        <v>521</v>
      </c>
      <c r="Z4" s="6" t="s">
        <v>522</v>
      </c>
      <c r="AA4" s="6" t="s">
        <v>523</v>
      </c>
      <c r="AB4" s="6" t="s">
        <v>524</v>
      </c>
      <c r="AC4" s="6" t="s">
        <v>525</v>
      </c>
      <c r="AD4" s="6" t="s">
        <v>526</v>
      </c>
      <c r="AG4" s="106" t="s">
        <v>527</v>
      </c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</row>
    <row r="5" spans="1:44">
      <c r="A5" s="91">
        <f>SUMPRODUCT($C$2:$F$2,C5:F5)</f>
        <v>537.52244475575196</v>
      </c>
      <c r="B5" s="6">
        <v>557</v>
      </c>
      <c r="C5" s="6">
        <v>1</v>
      </c>
      <c r="D5" s="6">
        <v>75.73</v>
      </c>
      <c r="E5" s="6">
        <v>36.200000000000003</v>
      </c>
      <c r="F5" s="6">
        <v>32.6</v>
      </c>
      <c r="G5" s="7"/>
      <c r="H5" s="21">
        <v>75.73</v>
      </c>
      <c r="I5" s="21">
        <v>35.11</v>
      </c>
      <c r="J5" s="21">
        <v>57.24</v>
      </c>
      <c r="K5" s="21">
        <v>94.62</v>
      </c>
      <c r="L5" s="21">
        <v>64.349999999999994</v>
      </c>
      <c r="M5" s="21">
        <v>73.22</v>
      </c>
      <c r="N5" s="21">
        <v>72.930000000000007</v>
      </c>
      <c r="O5" s="21">
        <v>65.52</v>
      </c>
      <c r="P5" s="21">
        <v>80.86</v>
      </c>
      <c r="Q5" s="21">
        <v>61.83</v>
      </c>
      <c r="R5" s="21">
        <v>47.83</v>
      </c>
      <c r="S5" s="21">
        <v>59.87</v>
      </c>
      <c r="V5" s="22">
        <f>SUMPRODUCT($X$2:$AD$2,X5:AD5)</f>
        <v>503.73666467065982</v>
      </c>
      <c r="W5" s="6">
        <v>557</v>
      </c>
      <c r="X5" s="6">
        <v>1</v>
      </c>
      <c r="Y5" s="6">
        <v>75.73</v>
      </c>
      <c r="Z5" s="6">
        <v>36.200000000000003</v>
      </c>
      <c r="AA5" s="6">
        <v>32.6</v>
      </c>
      <c r="AB5" s="76">
        <v>1</v>
      </c>
      <c r="AC5" s="6">
        <v>0</v>
      </c>
      <c r="AD5" s="6">
        <v>0</v>
      </c>
      <c r="AG5" s="20">
        <f t="array" ref="AG5:AR11">TRANSPOSE(X5:AD16)</f>
        <v>1</v>
      </c>
      <c r="AH5" s="20">
        <v>1</v>
      </c>
      <c r="AI5" s="20">
        <v>1</v>
      </c>
      <c r="AJ5" s="20">
        <v>1</v>
      </c>
      <c r="AK5" s="20">
        <v>1</v>
      </c>
      <c r="AL5" s="20">
        <v>1</v>
      </c>
      <c r="AM5" s="20">
        <v>1</v>
      </c>
      <c r="AN5" s="20">
        <v>1</v>
      </c>
      <c r="AO5" s="20">
        <v>1</v>
      </c>
      <c r="AP5" s="20">
        <v>1</v>
      </c>
      <c r="AQ5" s="20">
        <v>1</v>
      </c>
      <c r="AR5" s="20">
        <v>1</v>
      </c>
    </row>
    <row r="6" spans="1:44">
      <c r="A6" s="91">
        <f t="shared" ref="A6:A16" si="0">SUMPRODUCT($C$2:$F$2,C6:F6)</f>
        <v>180.82881256183532</v>
      </c>
      <c r="B6" s="6">
        <v>149</v>
      </c>
      <c r="C6" s="6">
        <v>1</v>
      </c>
      <c r="D6" s="6">
        <v>35.11</v>
      </c>
      <c r="E6" s="6">
        <v>65.599999999999994</v>
      </c>
      <c r="F6" s="6">
        <v>29.2</v>
      </c>
      <c r="G6" s="7"/>
      <c r="H6" s="21">
        <v>36.200000000000003</v>
      </c>
      <c r="I6" s="21">
        <v>65.599999999999994</v>
      </c>
      <c r="J6" s="21">
        <v>61.4</v>
      </c>
      <c r="K6" s="21">
        <v>23.8</v>
      </c>
      <c r="L6" s="21">
        <v>46.4</v>
      </c>
      <c r="M6" s="21">
        <v>37.200000000000003</v>
      </c>
      <c r="N6" s="21">
        <v>32.200000000000003</v>
      </c>
      <c r="O6" s="21">
        <v>46.2</v>
      </c>
      <c r="P6" s="21">
        <v>23.7</v>
      </c>
      <c r="Q6" s="21">
        <v>51.8</v>
      </c>
      <c r="R6" s="21">
        <v>69.400000000000006</v>
      </c>
      <c r="S6" s="21">
        <v>47.9</v>
      </c>
      <c r="V6" s="22">
        <f t="shared" ref="V6:V16" si="1">SUMPRODUCT($X$2:$AD$2,X6:AD6)</f>
        <v>173.6276585348707</v>
      </c>
      <c r="W6" s="6">
        <v>149</v>
      </c>
      <c r="X6" s="6">
        <v>1</v>
      </c>
      <c r="Y6" s="6">
        <v>35.11</v>
      </c>
      <c r="Z6" s="6">
        <v>65.599999999999994</v>
      </c>
      <c r="AA6" s="6">
        <v>29.2</v>
      </c>
      <c r="AB6" s="76">
        <v>0</v>
      </c>
      <c r="AC6" s="6">
        <v>1</v>
      </c>
      <c r="AD6" s="6">
        <v>0</v>
      </c>
      <c r="AG6" s="20">
        <v>75.73</v>
      </c>
      <c r="AH6" s="20">
        <v>35.11</v>
      </c>
      <c r="AI6" s="20">
        <v>57.24</v>
      </c>
      <c r="AJ6" s="20">
        <v>94.62</v>
      </c>
      <c r="AK6" s="20">
        <v>64.349999999999994</v>
      </c>
      <c r="AL6" s="20">
        <v>73.22</v>
      </c>
      <c r="AM6" s="20">
        <v>72.930000000000007</v>
      </c>
      <c r="AN6" s="20">
        <v>65.52</v>
      </c>
      <c r="AO6" s="20">
        <v>80.86</v>
      </c>
      <c r="AP6" s="20">
        <v>61.83</v>
      </c>
      <c r="AQ6" s="20">
        <v>47.83</v>
      </c>
      <c r="AR6" s="20">
        <v>59.87</v>
      </c>
    </row>
    <row r="7" spans="1:44">
      <c r="A7" s="91">
        <f t="shared" si="0"/>
        <v>330.89437283843472</v>
      </c>
      <c r="B7" s="6">
        <v>326</v>
      </c>
      <c r="C7" s="6">
        <v>1</v>
      </c>
      <c r="D7" s="6">
        <v>57.24</v>
      </c>
      <c r="E7" s="6">
        <v>61.4</v>
      </c>
      <c r="F7" s="6">
        <v>29.5</v>
      </c>
      <c r="G7" s="7"/>
      <c r="H7" s="21">
        <v>32.6</v>
      </c>
      <c r="I7" s="21">
        <v>29.2</v>
      </c>
      <c r="J7" s="21">
        <v>29.5</v>
      </c>
      <c r="K7" s="21">
        <v>30</v>
      </c>
      <c r="L7" s="21">
        <v>28.8</v>
      </c>
      <c r="M7" s="21">
        <v>33.4</v>
      </c>
      <c r="N7" s="21">
        <v>31.3</v>
      </c>
      <c r="O7" s="21">
        <v>29.1</v>
      </c>
      <c r="P7" s="21">
        <v>32.799999999999997</v>
      </c>
      <c r="Q7" s="21">
        <v>27.8</v>
      </c>
      <c r="R7" s="21">
        <v>29.2</v>
      </c>
      <c r="S7" s="21">
        <v>33.299999999999997</v>
      </c>
      <c r="V7" s="22">
        <f t="shared" si="1"/>
        <v>344.42416230706056</v>
      </c>
      <c r="W7" s="6">
        <v>326</v>
      </c>
      <c r="X7" s="6">
        <v>1</v>
      </c>
      <c r="Y7" s="6">
        <v>57.24</v>
      </c>
      <c r="Z7" s="6">
        <v>61.4</v>
      </c>
      <c r="AA7" s="6">
        <v>29.5</v>
      </c>
      <c r="AB7" s="76">
        <v>0</v>
      </c>
      <c r="AC7" s="6">
        <v>0</v>
      </c>
      <c r="AD7" s="6">
        <v>1</v>
      </c>
      <c r="AG7" s="20">
        <v>36.200000000000003</v>
      </c>
      <c r="AH7" s="20">
        <v>65.599999999999994</v>
      </c>
      <c r="AI7" s="20">
        <v>61.4</v>
      </c>
      <c r="AJ7" s="20">
        <v>23.8</v>
      </c>
      <c r="AK7" s="20">
        <v>46.4</v>
      </c>
      <c r="AL7" s="20">
        <v>37.200000000000003</v>
      </c>
      <c r="AM7" s="20">
        <v>32.200000000000003</v>
      </c>
      <c r="AN7" s="20">
        <v>46.2</v>
      </c>
      <c r="AO7" s="20">
        <v>23.7</v>
      </c>
      <c r="AP7" s="20">
        <v>51.8</v>
      </c>
      <c r="AQ7" s="20">
        <v>69.400000000000006</v>
      </c>
      <c r="AR7" s="20">
        <v>47.9</v>
      </c>
    </row>
    <row r="8" spans="1:44">
      <c r="A8" s="91">
        <f t="shared" si="0"/>
        <v>512.63588768905902</v>
      </c>
      <c r="B8" s="6">
        <v>486</v>
      </c>
      <c r="C8" s="6">
        <v>1</v>
      </c>
      <c r="D8" s="6">
        <v>94.62</v>
      </c>
      <c r="E8" s="6">
        <v>23.8</v>
      </c>
      <c r="F8" s="6">
        <v>30</v>
      </c>
      <c r="G8" s="7"/>
      <c r="V8" s="22">
        <f t="shared" si="1"/>
        <v>525.93043871107216</v>
      </c>
      <c r="W8" s="6">
        <v>486</v>
      </c>
      <c r="X8" s="6">
        <v>1</v>
      </c>
      <c r="Y8" s="6">
        <v>94.62</v>
      </c>
      <c r="Z8" s="6">
        <v>23.8</v>
      </c>
      <c r="AA8" s="6">
        <v>30</v>
      </c>
      <c r="AB8" s="76">
        <v>0</v>
      </c>
      <c r="AC8" s="6">
        <v>0</v>
      </c>
      <c r="AD8" s="6">
        <v>0</v>
      </c>
      <c r="AG8" s="20">
        <v>32.6</v>
      </c>
      <c r="AH8" s="20">
        <v>29.2</v>
      </c>
      <c r="AI8" s="20">
        <v>29.5</v>
      </c>
      <c r="AJ8" s="20">
        <v>30</v>
      </c>
      <c r="AK8" s="20">
        <v>28.8</v>
      </c>
      <c r="AL8" s="20">
        <v>33.4</v>
      </c>
      <c r="AM8" s="20">
        <v>31.3</v>
      </c>
      <c r="AN8" s="20">
        <v>29.1</v>
      </c>
      <c r="AO8" s="20">
        <v>32.799999999999997</v>
      </c>
      <c r="AP8" s="20">
        <v>27.8</v>
      </c>
      <c r="AQ8" s="20">
        <v>29.2</v>
      </c>
      <c r="AR8" s="20">
        <v>33.299999999999997</v>
      </c>
    </row>
    <row r="9" spans="1:44">
      <c r="A9" s="91">
        <f t="shared" si="0"/>
        <v>310.24517611864258</v>
      </c>
      <c r="B9" s="6">
        <v>282</v>
      </c>
      <c r="C9" s="6">
        <v>1</v>
      </c>
      <c r="D9" s="6">
        <v>64.349999999999994</v>
      </c>
      <c r="E9" s="6">
        <v>46.4</v>
      </c>
      <c r="F9" s="6">
        <v>28.8</v>
      </c>
      <c r="G9" s="7"/>
      <c r="H9" s="107" t="s">
        <v>264</v>
      </c>
      <c r="I9" s="107"/>
      <c r="J9" s="107"/>
      <c r="K9" s="107"/>
      <c r="V9" s="22">
        <f t="shared" si="1"/>
        <v>280.24067230707431</v>
      </c>
      <c r="W9" s="6">
        <v>282</v>
      </c>
      <c r="X9" s="6">
        <v>1</v>
      </c>
      <c r="Y9" s="6">
        <v>64.349999999999994</v>
      </c>
      <c r="Z9" s="6">
        <v>46.4</v>
      </c>
      <c r="AA9" s="6">
        <v>28.8</v>
      </c>
      <c r="AB9" s="76">
        <v>1</v>
      </c>
      <c r="AC9" s="6">
        <v>0</v>
      </c>
      <c r="AD9" s="6">
        <v>0</v>
      </c>
      <c r="AG9" s="20">
        <v>1</v>
      </c>
      <c r="AH9" s="20">
        <v>0</v>
      </c>
      <c r="AI9" s="20">
        <v>0</v>
      </c>
      <c r="AJ9" s="20">
        <v>0</v>
      </c>
      <c r="AK9" s="20">
        <v>1</v>
      </c>
      <c r="AL9" s="20">
        <v>0</v>
      </c>
      <c r="AM9" s="20">
        <v>0</v>
      </c>
      <c r="AN9" s="20">
        <v>0</v>
      </c>
      <c r="AO9" s="20">
        <v>1</v>
      </c>
      <c r="AP9" s="20">
        <v>0</v>
      </c>
      <c r="AQ9" s="20">
        <v>0</v>
      </c>
      <c r="AR9" s="20">
        <v>0</v>
      </c>
    </row>
    <row r="10" spans="1:44">
      <c r="A10" s="91">
        <f t="shared" si="0"/>
        <v>560.37439565692966</v>
      </c>
      <c r="B10" s="6">
        <v>547</v>
      </c>
      <c r="C10" s="6">
        <v>1</v>
      </c>
      <c r="D10" s="6">
        <v>73.22</v>
      </c>
      <c r="E10" s="6">
        <v>37.200000000000003</v>
      </c>
      <c r="F10" s="6">
        <v>33.4</v>
      </c>
      <c r="G10" s="7"/>
      <c r="H10" s="21">
        <f t="array" ref="H10:K13">MMULT(H4:S7,C5:F16)</f>
        <v>12</v>
      </c>
      <c r="I10" s="21">
        <v>789.11000000000024</v>
      </c>
      <c r="J10" s="21">
        <v>541.79999999999995</v>
      </c>
      <c r="K10" s="21">
        <v>367</v>
      </c>
      <c r="V10" s="22">
        <f t="shared" si="1"/>
        <v>540.1836336505728</v>
      </c>
      <c r="W10" s="6">
        <v>547</v>
      </c>
      <c r="X10" s="6">
        <v>1</v>
      </c>
      <c r="Y10" s="6">
        <v>73.22</v>
      </c>
      <c r="Z10" s="6">
        <v>37.200000000000003</v>
      </c>
      <c r="AA10" s="6">
        <v>33.4</v>
      </c>
      <c r="AB10" s="76">
        <v>0</v>
      </c>
      <c r="AC10" s="6">
        <v>1</v>
      </c>
      <c r="AD10" s="6">
        <v>0</v>
      </c>
      <c r="AG10" s="20">
        <v>0</v>
      </c>
      <c r="AH10" s="20">
        <v>1</v>
      </c>
      <c r="AI10" s="20">
        <v>0</v>
      </c>
      <c r="AJ10" s="20">
        <v>0</v>
      </c>
      <c r="AK10" s="20">
        <v>0</v>
      </c>
      <c r="AL10" s="20">
        <v>1</v>
      </c>
      <c r="AM10" s="20">
        <v>0</v>
      </c>
      <c r="AN10" s="20">
        <v>0</v>
      </c>
      <c r="AO10" s="20">
        <v>0</v>
      </c>
      <c r="AP10" s="20">
        <v>1</v>
      </c>
      <c r="AQ10" s="20">
        <v>0</v>
      </c>
      <c r="AR10" s="20">
        <v>0</v>
      </c>
    </row>
    <row r="11" spans="1:44">
      <c r="A11" s="91">
        <f t="shared" si="0"/>
        <v>449.44631205318763</v>
      </c>
      <c r="B11" s="6">
        <v>538</v>
      </c>
      <c r="C11" s="6">
        <v>1</v>
      </c>
      <c r="D11" s="6">
        <v>72.930000000000007</v>
      </c>
      <c r="E11" s="6">
        <v>32.200000000000003</v>
      </c>
      <c r="F11" s="6">
        <v>31.3</v>
      </c>
      <c r="G11" s="7"/>
      <c r="H11" s="21">
        <v>789.11000000000024</v>
      </c>
      <c r="I11" s="21">
        <v>54544.267499999994</v>
      </c>
      <c r="J11" s="21">
        <v>33202.479000000007</v>
      </c>
      <c r="K11" s="21">
        <v>24270.747999999996</v>
      </c>
      <c r="V11" s="22">
        <f t="shared" si="1"/>
        <v>503.02939029298659</v>
      </c>
      <c r="W11" s="6">
        <v>538</v>
      </c>
      <c r="X11" s="6">
        <v>1</v>
      </c>
      <c r="Y11" s="6">
        <v>72.930000000000007</v>
      </c>
      <c r="Z11" s="6">
        <v>32.200000000000003</v>
      </c>
      <c r="AA11" s="6">
        <v>31.3</v>
      </c>
      <c r="AB11" s="76">
        <v>0</v>
      </c>
      <c r="AC11" s="6">
        <v>0</v>
      </c>
      <c r="AD11" s="6">
        <v>1</v>
      </c>
      <c r="AG11" s="20">
        <v>0</v>
      </c>
      <c r="AH11" s="20">
        <v>0</v>
      </c>
      <c r="AI11" s="20">
        <v>1</v>
      </c>
      <c r="AJ11" s="20">
        <v>0</v>
      </c>
      <c r="AK11" s="20">
        <v>0</v>
      </c>
      <c r="AL11" s="20">
        <v>0</v>
      </c>
      <c r="AM11" s="20">
        <v>1</v>
      </c>
      <c r="AN11" s="20">
        <v>0</v>
      </c>
      <c r="AO11" s="20">
        <v>0</v>
      </c>
      <c r="AP11" s="20">
        <v>0</v>
      </c>
      <c r="AQ11" s="20">
        <v>1</v>
      </c>
      <c r="AR11" s="20">
        <v>0</v>
      </c>
    </row>
    <row r="12" spans="1:44">
      <c r="A12" s="91">
        <f t="shared" si="0"/>
        <v>331.39691716271216</v>
      </c>
      <c r="B12" s="6">
        <v>393</v>
      </c>
      <c r="C12" s="6">
        <v>1</v>
      </c>
      <c r="D12" s="6">
        <v>65.52</v>
      </c>
      <c r="E12" s="6">
        <v>46.2</v>
      </c>
      <c r="F12" s="6">
        <v>29.1</v>
      </c>
      <c r="G12" s="7"/>
      <c r="H12" s="21">
        <v>541.79999999999995</v>
      </c>
      <c r="I12" s="21">
        <v>33202.479000000007</v>
      </c>
      <c r="J12" s="21">
        <v>27013.98</v>
      </c>
      <c r="K12" s="21">
        <v>16390.97</v>
      </c>
      <c r="V12" s="22">
        <f t="shared" si="1"/>
        <v>348.78942114048436</v>
      </c>
      <c r="W12" s="6">
        <v>393</v>
      </c>
      <c r="X12" s="6">
        <v>1</v>
      </c>
      <c r="Y12" s="6">
        <v>65.52</v>
      </c>
      <c r="Z12" s="6">
        <v>46.2</v>
      </c>
      <c r="AA12" s="6">
        <v>29.1</v>
      </c>
      <c r="AB12" s="76">
        <v>0</v>
      </c>
      <c r="AC12" s="6">
        <v>0</v>
      </c>
      <c r="AD12" s="6">
        <v>0</v>
      </c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1:44">
      <c r="A13" s="91">
        <f t="shared" si="0"/>
        <v>551.36746784751767</v>
      </c>
      <c r="B13" s="6">
        <v>484</v>
      </c>
      <c r="C13" s="6">
        <v>1</v>
      </c>
      <c r="D13" s="6">
        <v>80.86</v>
      </c>
      <c r="E13" s="6">
        <v>23.7</v>
      </c>
      <c r="F13" s="6">
        <v>32.799999999999997</v>
      </c>
      <c r="G13" s="7"/>
      <c r="H13" s="21">
        <v>367</v>
      </c>
      <c r="I13" s="21">
        <v>24270.747999999996</v>
      </c>
      <c r="J13" s="21">
        <v>16390.97</v>
      </c>
      <c r="K13" s="21">
        <v>11267.359999999999</v>
      </c>
      <c r="V13" s="22">
        <f t="shared" si="1"/>
        <v>539.0226630217627</v>
      </c>
      <c r="W13" s="6">
        <v>484</v>
      </c>
      <c r="X13" s="6">
        <v>1</v>
      </c>
      <c r="Y13" s="6">
        <v>80.86</v>
      </c>
      <c r="Z13" s="6">
        <v>23.7</v>
      </c>
      <c r="AA13" s="6">
        <v>32.799999999999997</v>
      </c>
      <c r="AB13" s="76">
        <v>1</v>
      </c>
      <c r="AC13" s="6">
        <v>0</v>
      </c>
      <c r="AD13" s="6">
        <v>0</v>
      </c>
      <c r="AG13" s="106" t="s">
        <v>528</v>
      </c>
      <c r="AH13" s="106"/>
      <c r="AI13" s="106"/>
      <c r="AJ13" s="106"/>
      <c r="AK13" s="106"/>
      <c r="AL13" s="106"/>
      <c r="AM13" s="106"/>
      <c r="AN13" s="7"/>
      <c r="AO13" s="7"/>
      <c r="AP13" s="7"/>
      <c r="AQ13" s="7"/>
      <c r="AR13" s="7"/>
    </row>
    <row r="14" spans="1:44">
      <c r="A14" s="91">
        <f t="shared" si="0"/>
        <v>259.92587626836166</v>
      </c>
      <c r="B14" s="6">
        <v>253</v>
      </c>
      <c r="C14" s="6">
        <v>1</v>
      </c>
      <c r="D14" s="6">
        <v>61.83</v>
      </c>
      <c r="E14" s="6">
        <v>51.8</v>
      </c>
      <c r="F14" s="6">
        <v>27.8</v>
      </c>
      <c r="G14" s="7"/>
      <c r="V14" s="22">
        <f t="shared" si="1"/>
        <v>235.18870781402296</v>
      </c>
      <c r="W14" s="6">
        <v>253</v>
      </c>
      <c r="X14" s="6">
        <v>1</v>
      </c>
      <c r="Y14" s="6">
        <v>61.83</v>
      </c>
      <c r="Z14" s="6">
        <v>51.8</v>
      </c>
      <c r="AA14" s="6">
        <v>27.8</v>
      </c>
      <c r="AB14" s="76">
        <v>0</v>
      </c>
      <c r="AC14" s="6">
        <v>1</v>
      </c>
      <c r="AD14" s="6">
        <v>0</v>
      </c>
      <c r="AG14" s="20">
        <f t="array" ref="AG14:AM20">MMULT(AG5:AR11,X5:AD16)</f>
        <v>12</v>
      </c>
      <c r="AH14" s="20">
        <v>789.11000000000024</v>
      </c>
      <c r="AI14" s="20">
        <v>541.79999999999995</v>
      </c>
      <c r="AJ14" s="20">
        <v>367</v>
      </c>
      <c r="AK14" s="20">
        <v>3</v>
      </c>
      <c r="AL14" s="20">
        <v>3</v>
      </c>
      <c r="AM14" s="20">
        <v>3</v>
      </c>
      <c r="AN14" s="7"/>
      <c r="AO14" s="7"/>
      <c r="AP14" s="7"/>
      <c r="AQ14" s="7"/>
      <c r="AR14" s="7"/>
    </row>
    <row r="15" spans="1:44">
      <c r="A15" s="91">
        <f t="shared" si="0"/>
        <v>273.64329962172542</v>
      </c>
      <c r="B15" s="6">
        <v>270</v>
      </c>
      <c r="C15" s="6">
        <v>1</v>
      </c>
      <c r="D15" s="6">
        <v>47.83</v>
      </c>
      <c r="E15" s="6">
        <v>69.400000000000006</v>
      </c>
      <c r="F15" s="6">
        <v>29.2</v>
      </c>
      <c r="G15" s="7"/>
      <c r="V15" s="22">
        <f t="shared" si="1"/>
        <v>286.54644739941364</v>
      </c>
      <c r="W15" s="6">
        <v>270</v>
      </c>
      <c r="X15" s="6">
        <v>1</v>
      </c>
      <c r="Y15" s="6">
        <v>47.83</v>
      </c>
      <c r="Z15" s="6">
        <v>69.400000000000006</v>
      </c>
      <c r="AA15" s="6">
        <v>29.2</v>
      </c>
      <c r="AB15" s="76">
        <v>0</v>
      </c>
      <c r="AC15" s="6">
        <v>0</v>
      </c>
      <c r="AD15" s="6">
        <v>1</v>
      </c>
      <c r="AG15" s="20">
        <v>789.11000000000024</v>
      </c>
      <c r="AH15" s="20">
        <v>54544.267499999994</v>
      </c>
      <c r="AI15" s="20">
        <v>33202.479000000007</v>
      </c>
      <c r="AJ15" s="20">
        <v>24270.747999999996</v>
      </c>
      <c r="AK15" s="20">
        <v>220.94</v>
      </c>
      <c r="AL15" s="20">
        <v>170.16</v>
      </c>
      <c r="AM15" s="20">
        <v>178</v>
      </c>
      <c r="AN15" s="7"/>
      <c r="AO15" s="7"/>
      <c r="AP15" s="7"/>
      <c r="AQ15" s="7"/>
      <c r="AR15" s="7"/>
    </row>
    <row r="16" spans="1:44">
      <c r="A16" s="91">
        <f t="shared" si="0"/>
        <v>492.71903742559607</v>
      </c>
      <c r="B16" s="6">
        <v>506</v>
      </c>
      <c r="C16" s="6">
        <v>1</v>
      </c>
      <c r="D16" s="6">
        <v>59.87</v>
      </c>
      <c r="E16" s="6">
        <v>47.9</v>
      </c>
      <c r="F16" s="6">
        <v>33.299999999999997</v>
      </c>
      <c r="G16" s="7"/>
      <c r="H16" s="107" t="s">
        <v>265</v>
      </c>
      <c r="I16" s="107"/>
      <c r="J16" s="107"/>
      <c r="K16" s="107"/>
      <c r="M16" s="18" t="s">
        <v>266</v>
      </c>
      <c r="P16" s="107" t="s">
        <v>267</v>
      </c>
      <c r="Q16" s="107"/>
      <c r="V16" s="22">
        <f t="shared" si="1"/>
        <v>510.28014014793246</v>
      </c>
      <c r="W16" s="6">
        <v>506</v>
      </c>
      <c r="X16" s="6">
        <v>1</v>
      </c>
      <c r="Y16" s="6">
        <v>59.87</v>
      </c>
      <c r="Z16" s="6">
        <v>47.9</v>
      </c>
      <c r="AA16" s="6">
        <v>33.299999999999997</v>
      </c>
      <c r="AB16" s="76">
        <v>0</v>
      </c>
      <c r="AC16" s="6">
        <v>0</v>
      </c>
      <c r="AD16" s="6">
        <v>0</v>
      </c>
      <c r="AG16" s="20">
        <v>541.79999999999995</v>
      </c>
      <c r="AH16" s="20">
        <v>33202.479000000007</v>
      </c>
      <c r="AI16" s="20">
        <v>27013.98</v>
      </c>
      <c r="AJ16" s="20">
        <v>16390.97</v>
      </c>
      <c r="AK16" s="20">
        <v>106.3</v>
      </c>
      <c r="AL16" s="20">
        <v>154.6</v>
      </c>
      <c r="AM16" s="20">
        <v>163</v>
      </c>
      <c r="AN16" s="7"/>
      <c r="AO16" s="7"/>
      <c r="AP16" s="7"/>
      <c r="AQ16" s="7"/>
      <c r="AR16" s="7"/>
    </row>
    <row r="17" spans="1:44">
      <c r="B17" s="7"/>
      <c r="C17" s="7"/>
      <c r="D17" s="7"/>
      <c r="F17" s="7"/>
      <c r="H17" s="21">
        <f t="array" ref="H17:K20">MINVERSE(H10:K13)</f>
        <v>105.61649667235032</v>
      </c>
      <c r="I17" s="21">
        <v>-0.46622191153184372</v>
      </c>
      <c r="J17" s="21">
        <v>-0.57333367919590772</v>
      </c>
      <c r="K17" s="21">
        <v>-1.6018130792124463</v>
      </c>
      <c r="M17" s="21">
        <f t="array" ref="M17:M20">MMULT(H4:S7,B5:B16)</f>
        <v>4791</v>
      </c>
      <c r="O17" s="18" t="s">
        <v>268</v>
      </c>
      <c r="P17" s="23">
        <f t="array" ref="P17:P20">MMULT(H17:K20,M17:M20)</f>
        <v>-1557.4408039023401</v>
      </c>
      <c r="W17" s="7"/>
      <c r="X17" s="7"/>
      <c r="Y17" s="7"/>
      <c r="AA17" s="7"/>
      <c r="AG17" s="20">
        <v>367</v>
      </c>
      <c r="AH17" s="20">
        <v>24270.747999999996</v>
      </c>
      <c r="AI17" s="20">
        <v>16390.97</v>
      </c>
      <c r="AJ17" s="20">
        <v>11267.359999999999</v>
      </c>
      <c r="AK17" s="20">
        <v>94.2</v>
      </c>
      <c r="AL17" s="20">
        <v>90.399999999999991</v>
      </c>
      <c r="AM17" s="20">
        <v>90</v>
      </c>
      <c r="AN17" s="7"/>
      <c r="AO17" s="7"/>
      <c r="AP17" s="7"/>
      <c r="AQ17" s="7"/>
      <c r="AR17" s="7"/>
    </row>
    <row r="18" spans="1:44">
      <c r="A18" s="6" t="s">
        <v>269</v>
      </c>
      <c r="B18" s="20">
        <f>CORREL(A5:A16,B5:B16)</f>
        <v>0.952849370489815</v>
      </c>
      <c r="C18" s="7"/>
      <c r="H18" s="21">
        <v>-0.46622191153182574</v>
      </c>
      <c r="I18" s="21">
        <v>3.2136441288124944E-3</v>
      </c>
      <c r="J18" s="21">
        <v>3.2983070451901675E-3</v>
      </c>
      <c r="K18" s="21">
        <v>3.4651810975767005E-3</v>
      </c>
      <c r="M18" s="21">
        <v>333229.84999999992</v>
      </c>
      <c r="O18" s="18" t="s">
        <v>254</v>
      </c>
      <c r="P18" s="23">
        <v>6.5972853435521301</v>
      </c>
      <c r="V18" s="6" t="s">
        <v>529</v>
      </c>
      <c r="W18" s="7">
        <f>CORREL(V5:V16,W5:W16)</f>
        <v>0.97069162595971958</v>
      </c>
      <c r="X18" s="7"/>
      <c r="AG18" s="20">
        <v>3</v>
      </c>
      <c r="AH18" s="20">
        <v>220.94</v>
      </c>
      <c r="AI18" s="20">
        <v>106.3</v>
      </c>
      <c r="AJ18" s="20">
        <v>94.2</v>
      </c>
      <c r="AK18" s="20">
        <v>3</v>
      </c>
      <c r="AL18" s="20">
        <v>0</v>
      </c>
      <c r="AM18" s="20">
        <v>0</v>
      </c>
      <c r="AN18" s="7"/>
      <c r="AO18" s="7"/>
      <c r="AP18" s="7"/>
      <c r="AQ18" s="7"/>
      <c r="AR18" s="7"/>
    </row>
    <row r="19" spans="1:44">
      <c r="B19" s="7"/>
      <c r="C19" s="7"/>
      <c r="D19" s="7"/>
      <c r="H19" s="21">
        <v>-0.57333367919589495</v>
      </c>
      <c r="I19" s="21">
        <v>3.2983070451902104E-3</v>
      </c>
      <c r="J19" s="21">
        <v>3.9374814767673405E-3</v>
      </c>
      <c r="K19" s="21">
        <v>5.8418245607851403E-3</v>
      </c>
      <c r="M19" s="21">
        <v>197986</v>
      </c>
      <c r="O19" s="18" t="s">
        <v>255</v>
      </c>
      <c r="P19" s="23">
        <v>2.3413203920807746</v>
      </c>
      <c r="W19" s="7"/>
      <c r="X19" s="7"/>
      <c r="Y19" s="7"/>
      <c r="AG19" s="20">
        <v>3</v>
      </c>
      <c r="AH19" s="20">
        <v>170.16</v>
      </c>
      <c r="AI19" s="20">
        <v>154.6</v>
      </c>
      <c r="AJ19" s="20">
        <v>90.399999999999991</v>
      </c>
      <c r="AK19" s="20">
        <v>0</v>
      </c>
      <c r="AL19" s="20">
        <v>3</v>
      </c>
      <c r="AM19" s="20">
        <v>0</v>
      </c>
      <c r="AN19" s="7"/>
      <c r="AO19" s="7"/>
      <c r="AP19" s="7"/>
      <c r="AQ19" s="7"/>
      <c r="AR19" s="7"/>
    </row>
    <row r="20" spans="1:44">
      <c r="B20" s="7"/>
      <c r="F20" s="7"/>
      <c r="H20" s="21">
        <v>-1.6018130792125038</v>
      </c>
      <c r="I20" s="21">
        <v>3.4651810975772196E-3</v>
      </c>
      <c r="J20" s="21">
        <v>5.8418245607856486E-3</v>
      </c>
      <c r="K20" s="21">
        <v>3.6300401492117759E-2</v>
      </c>
      <c r="M20" s="21">
        <v>149015.49999999997</v>
      </c>
      <c r="O20" s="18" t="s">
        <v>256</v>
      </c>
      <c r="P20" s="23">
        <v>46.337270901765805</v>
      </c>
      <c r="W20" s="7"/>
      <c r="AA20" s="7"/>
      <c r="AG20" s="20">
        <v>3</v>
      </c>
      <c r="AH20" s="20">
        <v>178</v>
      </c>
      <c r="AI20" s="20">
        <v>163</v>
      </c>
      <c r="AJ20" s="20">
        <v>90</v>
      </c>
      <c r="AK20" s="20">
        <v>0</v>
      </c>
      <c r="AL20" s="20">
        <v>0</v>
      </c>
      <c r="AM20" s="20">
        <v>3</v>
      </c>
      <c r="AN20" s="7"/>
      <c r="AO20" s="7"/>
      <c r="AP20" s="7"/>
      <c r="AQ20" s="7"/>
      <c r="AR20" s="7"/>
    </row>
    <row r="21" spans="1:44">
      <c r="B21" s="7"/>
      <c r="W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1:44">
      <c r="B22" s="7"/>
      <c r="D22" s="7"/>
      <c r="E22" s="7"/>
      <c r="F22" s="7"/>
      <c r="W22" s="7"/>
      <c r="X22" s="76"/>
      <c r="AA22" s="7"/>
      <c r="AC22" s="7"/>
      <c r="AD22" s="7"/>
      <c r="AG22" s="106" t="s">
        <v>530</v>
      </c>
      <c r="AH22" s="106"/>
      <c r="AI22" s="106"/>
      <c r="AJ22" s="106"/>
      <c r="AK22" s="106"/>
      <c r="AL22" s="106"/>
      <c r="AM22" s="106"/>
      <c r="AN22" s="7"/>
      <c r="AO22" s="74" t="s">
        <v>266</v>
      </c>
      <c r="AP22" s="7"/>
      <c r="AQ22" s="106" t="s">
        <v>531</v>
      </c>
      <c r="AR22" s="106"/>
    </row>
    <row r="23" spans="1:44">
      <c r="B23" s="7"/>
      <c r="D23" s="7"/>
      <c r="E23" s="7"/>
      <c r="F23" s="7"/>
      <c r="W23" s="7"/>
      <c r="X23" s="76"/>
      <c r="AA23" s="7"/>
      <c r="AC23" s="7"/>
      <c r="AD23" s="7"/>
      <c r="AG23" s="20">
        <f t="array" ref="AG23:AM29">MINVERSE(AG14:AM20)</f>
        <v>122.1602524037957</v>
      </c>
      <c r="AH23" s="20">
        <v>-0.57567614392275501</v>
      </c>
      <c r="AI23" s="20">
        <v>-0.69302494229654021</v>
      </c>
      <c r="AJ23" s="20">
        <v>-1.7004178364738045</v>
      </c>
      <c r="AK23" s="20">
        <v>-1.8143194703796597</v>
      </c>
      <c r="AL23" s="20">
        <v>-2.5547586884046924</v>
      </c>
      <c r="AM23" s="20">
        <v>0.66342242794725803</v>
      </c>
      <c r="AN23" s="7"/>
      <c r="AO23" s="20">
        <f t="array" ref="AO23:AO29">MMULT(AG5:AR11,W5:W16)</f>
        <v>4791</v>
      </c>
      <c r="AP23" s="74" t="s">
        <v>532</v>
      </c>
      <c r="AQ23" s="20">
        <f t="array" ref="AQ23:AQ29">MMULT(AG23:AM29,AO23:AO29)</f>
        <v>-1233.0457792740606</v>
      </c>
      <c r="AR23" s="7"/>
    </row>
    <row r="24" spans="1:44">
      <c r="B24" s="7"/>
      <c r="D24" s="7"/>
      <c r="E24" s="7"/>
      <c r="F24" s="7"/>
      <c r="W24" s="7"/>
      <c r="X24" s="76"/>
      <c r="AA24" s="7"/>
      <c r="AC24" s="7"/>
      <c r="AD24" s="7"/>
      <c r="AG24" s="20">
        <v>-0.57567614392273314</v>
      </c>
      <c r="AH24" s="20">
        <v>3.9441845445669444E-3</v>
      </c>
      <c r="AI24" s="20">
        <v>4.0641717171239081E-3</v>
      </c>
      <c r="AJ24" s="20">
        <v>4.1136639033454124E-3</v>
      </c>
      <c r="AK24" s="20">
        <v>1.2023901755389737E-2</v>
      </c>
      <c r="AL24" s="20">
        <v>1.8563275111635549E-2</v>
      </c>
      <c r="AM24" s="20">
        <v>-2.5753861190003337E-3</v>
      </c>
      <c r="AN24" s="7"/>
      <c r="AO24" s="20">
        <v>333229.84999999992</v>
      </c>
      <c r="AP24" s="74" t="s">
        <v>254</v>
      </c>
      <c r="AQ24" s="20">
        <v>4.508085844385155</v>
      </c>
      <c r="AR24" s="7"/>
    </row>
    <row r="25" spans="1:44">
      <c r="B25" s="7"/>
      <c r="F25" s="24"/>
      <c r="W25" s="7"/>
      <c r="Z25" s="77"/>
      <c r="AA25" s="24"/>
      <c r="AC25" s="7"/>
      <c r="AD25" s="7"/>
      <c r="AG25" s="20">
        <v>-0.69302494229652511</v>
      </c>
      <c r="AH25" s="20">
        <v>4.0641717171239645E-3</v>
      </c>
      <c r="AI25" s="20">
        <v>4.9105134399793811E-3</v>
      </c>
      <c r="AJ25" s="20">
        <v>6.5580830393026134E-3</v>
      </c>
      <c r="AK25" s="20">
        <v>1.3792575578697241E-2</v>
      </c>
      <c r="AL25" s="20">
        <v>1.1833094309997551E-2</v>
      </c>
      <c r="AM25" s="20">
        <v>-1.1662967670788392E-2</v>
      </c>
      <c r="AN25" s="7"/>
      <c r="AO25" s="20">
        <v>197986</v>
      </c>
      <c r="AP25" s="74" t="s">
        <v>255</v>
      </c>
      <c r="AQ25" s="20">
        <v>-0.25885114810494692</v>
      </c>
      <c r="AR25" s="7"/>
    </row>
    <row r="26" spans="1:44">
      <c r="B26" s="7"/>
      <c r="W26" s="7"/>
      <c r="Z26" s="77"/>
      <c r="AC26" s="7"/>
      <c r="AD26" s="7"/>
      <c r="AG26" s="20">
        <v>-1.7004178364738765</v>
      </c>
      <c r="AH26" s="20">
        <v>4.1136639033460534E-3</v>
      </c>
      <c r="AI26" s="20">
        <v>6.5580830393032474E-3</v>
      </c>
      <c r="AJ26" s="20">
        <v>3.704554462892435E-2</v>
      </c>
      <c r="AK26" s="20">
        <v>1.8553584979142345E-3</v>
      </c>
      <c r="AL26" s="20">
        <v>1.2825195765740519E-2</v>
      </c>
      <c r="AM26" s="20">
        <v>-1.1348405794529851E-2</v>
      </c>
      <c r="AN26" s="7"/>
      <c r="AO26" s="20">
        <v>149015.49999999997</v>
      </c>
      <c r="AP26" s="74" t="s">
        <v>256</v>
      </c>
      <c r="AQ26" s="20">
        <v>44.619393090476905</v>
      </c>
      <c r="AR26" s="7"/>
    </row>
    <row r="27" spans="1:44">
      <c r="B27" s="7"/>
      <c r="W27" s="7"/>
      <c r="Z27" s="77"/>
      <c r="AG27" s="20">
        <v>-1.8143194703795649</v>
      </c>
      <c r="AH27" s="20">
        <v>1.202390175538956E-2</v>
      </c>
      <c r="AI27" s="20">
        <v>1.3792575578696866E-2</v>
      </c>
      <c r="AJ27" s="20">
        <v>1.8553584979120509E-3</v>
      </c>
      <c r="AK27" s="20">
        <v>0.7151573342613774</v>
      </c>
      <c r="AL27" s="20">
        <v>0.36563823192127393</v>
      </c>
      <c r="AM27" s="20">
        <v>0.2958439381798928</v>
      </c>
      <c r="AN27" s="7"/>
      <c r="AO27" s="20">
        <v>1323</v>
      </c>
      <c r="AP27" s="74" t="s">
        <v>533</v>
      </c>
      <c r="AQ27" s="20">
        <v>-49.836700238715366</v>
      </c>
      <c r="AR27" s="7"/>
    </row>
    <row r="28" spans="1:44">
      <c r="B28" s="7"/>
      <c r="W28" s="7"/>
      <c r="Z28" s="77"/>
      <c r="AG28" s="20">
        <v>-2.5547586884045557</v>
      </c>
      <c r="AH28" s="20">
        <v>1.8563275111635219E-2</v>
      </c>
      <c r="AI28" s="20">
        <v>1.1833094309996961E-2</v>
      </c>
      <c r="AJ28" s="20">
        <v>1.2825195765737624E-2</v>
      </c>
      <c r="AK28" s="20">
        <v>0.36563823192127343</v>
      </c>
      <c r="AL28" s="20">
        <v>0.83891836488986904</v>
      </c>
      <c r="AM28" s="20">
        <v>0.42565036796556904</v>
      </c>
      <c r="AN28" s="7"/>
      <c r="AO28" s="20">
        <v>949</v>
      </c>
      <c r="AP28" s="74" t="s">
        <v>534</v>
      </c>
      <c r="AQ28" s="20">
        <v>-37.511099113672401</v>
      </c>
      <c r="AR28" s="7"/>
    </row>
    <row r="29" spans="1:44">
      <c r="B29" s="7"/>
      <c r="W29" s="7"/>
      <c r="Z29" s="77"/>
      <c r="AG29" s="20">
        <v>0.66342242794727901</v>
      </c>
      <c r="AH29" s="20">
        <v>-2.5753861190007071E-3</v>
      </c>
      <c r="AI29" s="20">
        <v>-1.1662967670788709E-2</v>
      </c>
      <c r="AJ29" s="20">
        <v>-1.134840579452924E-2</v>
      </c>
      <c r="AK29" s="20">
        <v>0.29584393817989124</v>
      </c>
      <c r="AL29" s="20">
        <v>0.42565036796556704</v>
      </c>
      <c r="AM29" s="20">
        <v>0.79685723239549344</v>
      </c>
      <c r="AN29" s="7"/>
      <c r="AO29" s="20">
        <v>1134</v>
      </c>
      <c r="AP29" s="74" t="s">
        <v>535</v>
      </c>
      <c r="AQ29" s="20">
        <v>19.048472173089976</v>
      </c>
      <c r="AR29" s="7"/>
    </row>
    <row r="30" spans="1:44">
      <c r="B30" s="7"/>
    </row>
    <row r="31" spans="1:44">
      <c r="B31" s="7"/>
    </row>
    <row r="32" spans="1:44">
      <c r="B32" s="7"/>
    </row>
    <row r="33" spans="2:2">
      <c r="B33" s="7"/>
    </row>
  </sheetData>
  <mergeCells count="10">
    <mergeCell ref="AG4:AR4"/>
    <mergeCell ref="AG13:AM13"/>
    <mergeCell ref="AG22:AM22"/>
    <mergeCell ref="AQ22:AR22"/>
    <mergeCell ref="X3:AD3"/>
    <mergeCell ref="C3:F3"/>
    <mergeCell ref="H3:S3"/>
    <mergeCell ref="H9:K9"/>
    <mergeCell ref="H16:K16"/>
    <mergeCell ref="P16:Q16"/>
  </mergeCells>
  <phoneticPr fontId="1" type="noConversion"/>
  <pageMargins left="0.7" right="0.7" top="0.75" bottom="0.75" header="0.3" footer="0.3"/>
  <ignoredErrors>
    <ignoredError sqref="A5:A16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8"/>
  <sheetViews>
    <sheetView tabSelected="1" zoomScale="55" zoomScaleNormal="55" workbookViewId="0">
      <selection activeCell="D26" sqref="D26"/>
    </sheetView>
  </sheetViews>
  <sheetFormatPr defaultRowHeight="17.399999999999999"/>
  <cols>
    <col min="1" max="1" width="9.19921875" style="25" bestFit="1" customWidth="1"/>
    <col min="2" max="2" width="20" style="25" bestFit="1" customWidth="1"/>
    <col min="3" max="3" width="9.796875" style="25" bestFit="1" customWidth="1"/>
    <col min="4" max="4" width="18.09765625" style="25" bestFit="1" customWidth="1"/>
    <col min="5" max="5" width="7.796875" style="25" bestFit="1" customWidth="1"/>
    <col min="6" max="6" width="5.19921875" style="25" customWidth="1"/>
    <col min="7" max="7" width="9.19921875" style="25" bestFit="1" customWidth="1"/>
    <col min="8" max="8" width="18.09765625" style="25" bestFit="1" customWidth="1"/>
    <col min="9" max="9" width="9.8984375" style="25" bestFit="1" customWidth="1"/>
    <col min="10" max="10" width="18.19921875" style="25" bestFit="1" customWidth="1"/>
    <col min="11" max="11" width="6.796875" style="25" bestFit="1" customWidth="1"/>
    <col min="12" max="12" width="7.09765625" style="25" customWidth="1"/>
    <col min="13" max="13" width="6.5" style="25" bestFit="1" customWidth="1"/>
    <col min="14" max="14" width="16.09765625" style="25" bestFit="1" customWidth="1"/>
    <col min="15" max="16" width="18.09765625" style="25" bestFit="1" customWidth="1"/>
    <col min="17" max="17" width="9.796875" style="25" bestFit="1" customWidth="1"/>
    <col min="18" max="18" width="18.09765625" style="25" bestFit="1" customWidth="1"/>
    <col min="19" max="19" width="9.8984375" style="25" bestFit="1" customWidth="1"/>
    <col min="20" max="22" width="8.796875" style="25"/>
    <col min="23" max="24" width="6.5" style="25" bestFit="1" customWidth="1"/>
    <col min="25" max="25" width="11.09765625" style="25" bestFit="1" customWidth="1"/>
    <col min="26" max="16384" width="8.796875" style="25"/>
  </cols>
  <sheetData>
    <row r="1" spans="1:26">
      <c r="B1" s="26" t="s">
        <v>253</v>
      </c>
      <c r="C1" s="26" t="s">
        <v>270</v>
      </c>
      <c r="D1" s="26" t="s">
        <v>271</v>
      </c>
      <c r="E1" s="26" t="s">
        <v>272</v>
      </c>
    </row>
    <row r="2" spans="1:26">
      <c r="B2" s="27">
        <f>B17-SUMPRODUCT(C2:E2,C17:E17)</f>
        <v>-806.22485792433554</v>
      </c>
      <c r="C2" s="27">
        <f>N3*$B$18/C18</f>
        <v>2.0184181333301408</v>
      </c>
      <c r="D2" s="27">
        <f>N4*$B$18/D18</f>
        <v>-2.794639942348816</v>
      </c>
      <c r="E2" s="27">
        <f>N5*$B$18/E18</f>
        <v>39.201853631238329</v>
      </c>
      <c r="N2" s="28" t="s">
        <v>273</v>
      </c>
      <c r="P2" s="109" t="s">
        <v>274</v>
      </c>
      <c r="Q2" s="109"/>
      <c r="R2" s="109"/>
      <c r="S2" s="109"/>
    </row>
    <row r="3" spans="1:26">
      <c r="A3" s="28" t="s">
        <v>276</v>
      </c>
      <c r="B3" s="28" t="s">
        <v>278</v>
      </c>
      <c r="C3" s="109" t="s">
        <v>279</v>
      </c>
      <c r="D3" s="109"/>
      <c r="E3" s="109"/>
      <c r="G3" s="28" t="s">
        <v>276</v>
      </c>
      <c r="H3" s="109" t="s">
        <v>281</v>
      </c>
      <c r="I3" s="109"/>
      <c r="J3" s="109"/>
      <c r="K3" s="109"/>
      <c r="M3" s="26" t="s">
        <v>282</v>
      </c>
      <c r="N3" s="29">
        <f t="array" ref="N3:N5">MMULT(Q16:R18,R42:R43)</f>
        <v>0.22582665851407313</v>
      </c>
      <c r="Q3" s="26" t="s">
        <v>283</v>
      </c>
      <c r="R3" s="26" t="s">
        <v>263</v>
      </c>
      <c r="S3" s="26" t="s">
        <v>224</v>
      </c>
    </row>
    <row r="4" spans="1:26">
      <c r="A4" s="28"/>
      <c r="B4" s="26" t="s">
        <v>510</v>
      </c>
      <c r="C4" s="26" t="s">
        <v>283</v>
      </c>
      <c r="D4" s="26" t="s">
        <v>263</v>
      </c>
      <c r="E4" s="26" t="s">
        <v>224</v>
      </c>
      <c r="G4" s="28"/>
      <c r="H4" s="26" t="s">
        <v>510</v>
      </c>
      <c r="I4" s="26" t="s">
        <v>283</v>
      </c>
      <c r="J4" s="26" t="s">
        <v>263</v>
      </c>
      <c r="K4" s="26" t="s">
        <v>224</v>
      </c>
      <c r="M4" s="26" t="s">
        <v>284</v>
      </c>
      <c r="N4" s="29">
        <v>-0.30664278416297663</v>
      </c>
      <c r="P4" s="26" t="s">
        <v>283</v>
      </c>
      <c r="Q4" s="29">
        <f>CORREL($I$5:$I$16,I5:I16)</f>
        <v>0.99999999999999989</v>
      </c>
      <c r="R4" s="29">
        <f>CORREL($I$5:$I$16,J5:J16)</f>
        <v>-0.93233761909487523</v>
      </c>
      <c r="S4" s="29">
        <f>CORREL($I$5:$I$16,K5:K16)</f>
        <v>0.40471087584412418</v>
      </c>
    </row>
    <row r="5" spans="1:26">
      <c r="A5" s="41">
        <f>$B$2+SUMPRODUCT($C$2:$E$2,C5:E5)</f>
        <v>523.44440977809859</v>
      </c>
      <c r="B5" s="25">
        <v>557</v>
      </c>
      <c r="C5" s="25">
        <v>75.73</v>
      </c>
      <c r="D5" s="25">
        <v>36.200000000000003</v>
      </c>
      <c r="E5" s="25">
        <v>32.6</v>
      </c>
      <c r="G5" s="29">
        <f t="array" ref="G5:G16">MMULT(I5:K16,N3:N5)</f>
        <v>0.89472509850657811</v>
      </c>
      <c r="H5" s="29">
        <f t="shared" ref="H5:H16" si="0">(B5-B$17)/B$18</f>
        <v>1.1364672898047219</v>
      </c>
      <c r="I5" s="29">
        <f t="shared" ref="I5:I16" si="1">(C5-C$17)/C$18</f>
        <v>0.6420294651765136</v>
      </c>
      <c r="J5" s="29">
        <f t="shared" ref="J5:J16" si="2">(D5-D$17)/D$18</f>
        <v>-0.58762967604561078</v>
      </c>
      <c r="K5" s="29">
        <f t="shared" ref="K5:K16" si="3">(E5-E$17)/E$18</f>
        <v>1.0167251378347844</v>
      </c>
      <c r="M5" s="26" t="s">
        <v>285</v>
      </c>
      <c r="N5" s="29">
        <v>0.5601763039041967</v>
      </c>
      <c r="P5" s="26" t="s">
        <v>263</v>
      </c>
      <c r="Q5" s="29">
        <f>CORREL($J$5:$J$16,I5:I16)</f>
        <v>-0.93233761909487523</v>
      </c>
      <c r="R5" s="29">
        <f>CORREL($J$5:$J$16,J5:J16)</f>
        <v>1.0000000000000002</v>
      </c>
      <c r="S5" s="29">
        <f>CORREL($J$5:$J$16,K5:K16)</f>
        <v>-0.53889546234177332</v>
      </c>
    </row>
    <row r="6" spans="1:26">
      <c r="A6" s="41">
        <f t="shared" ref="A6:A16" si="4">$B$2+SUMPRODUCT($C$2:$E$2,C6:E6)</f>
        <v>226.00754855096261</v>
      </c>
      <c r="B6" s="25">
        <v>149</v>
      </c>
      <c r="C6" s="25">
        <v>35.11</v>
      </c>
      <c r="D6" s="25">
        <v>65.599999999999994</v>
      </c>
      <c r="E6" s="25">
        <v>29.2</v>
      </c>
      <c r="G6" s="29">
        <v>-1.2480784740248088</v>
      </c>
      <c r="H6" s="29">
        <f t="shared" si="0"/>
        <v>-1.8028585690879979</v>
      </c>
      <c r="I6" s="29">
        <f t="shared" si="1"/>
        <v>-1.9735229168179729</v>
      </c>
      <c r="J6" s="29">
        <f t="shared" si="2"/>
        <v>1.3426845670539378</v>
      </c>
      <c r="K6" s="29">
        <f t="shared" si="3"/>
        <v>-0.69742302843212367</v>
      </c>
      <c r="P6" s="26" t="s">
        <v>224</v>
      </c>
      <c r="Q6" s="29">
        <f>CORREL($K$5:$K$16,I5:I16)</f>
        <v>0.40471087584412418</v>
      </c>
      <c r="R6" s="29">
        <f>CORREL($K$5:$K$16,J5:J16)</f>
        <v>-0.53889546234177332</v>
      </c>
      <c r="S6" s="29">
        <f>CORREL($K$5:$K$16,K5:K16)</f>
        <v>1.0000000000000002</v>
      </c>
    </row>
    <row r="7" spans="1:26">
      <c r="A7" s="41">
        <f t="shared" si="4"/>
        <v>294.173185688795</v>
      </c>
      <c r="B7" s="25">
        <v>326</v>
      </c>
      <c r="C7" s="25">
        <v>57.24</v>
      </c>
      <c r="D7" s="25">
        <v>61.4</v>
      </c>
      <c r="E7" s="25">
        <v>29.5</v>
      </c>
      <c r="G7" s="29">
        <v>-0.75699754283086484</v>
      </c>
      <c r="H7" s="29">
        <f t="shared" si="0"/>
        <v>-0.52770985089189149</v>
      </c>
      <c r="I7" s="29">
        <f t="shared" si="1"/>
        <v>-0.54855555557873148</v>
      </c>
      <c r="J7" s="29">
        <f t="shared" si="2"/>
        <v>1.0669253894682882</v>
      </c>
      <c r="K7" s="29">
        <f t="shared" si="3"/>
        <v>-0.54617466082033739</v>
      </c>
    </row>
    <row r="8" spans="1:26">
      <c r="A8" s="41">
        <f t="shared" si="4"/>
        <v>494.30104416061045</v>
      </c>
      <c r="B8" s="25">
        <v>486</v>
      </c>
      <c r="C8" s="25">
        <v>94.62</v>
      </c>
      <c r="D8" s="25">
        <v>23.8</v>
      </c>
      <c r="E8" s="25">
        <v>30</v>
      </c>
      <c r="G8" s="29">
        <v>0.68476958827459877</v>
      </c>
      <c r="H8" s="29">
        <f t="shared" si="0"/>
        <v>0.62496695651701817</v>
      </c>
      <c r="I8" s="29">
        <f t="shared" si="1"/>
        <v>1.858370787083846</v>
      </c>
      <c r="J8" s="29">
        <f t="shared" si="2"/>
        <v>-1.4017758193937202</v>
      </c>
      <c r="K8" s="29">
        <f t="shared" si="3"/>
        <v>-0.29409404813402756</v>
      </c>
      <c r="P8" s="109" t="s">
        <v>198</v>
      </c>
      <c r="Q8" s="109"/>
      <c r="R8" s="109"/>
      <c r="S8" s="109"/>
    </row>
    <row r="9" spans="1:26">
      <c r="A9" s="41">
        <f t="shared" si="4"/>
        <v>323.00244021013782</v>
      </c>
      <c r="B9" s="25">
        <v>282</v>
      </c>
      <c r="C9" s="25">
        <v>64.349999999999994</v>
      </c>
      <c r="D9" s="25">
        <v>46.4</v>
      </c>
      <c r="E9" s="25">
        <v>28.8</v>
      </c>
      <c r="G9" s="29">
        <v>-0.54930496119561367</v>
      </c>
      <c r="H9" s="29">
        <f t="shared" si="0"/>
        <v>-0.84469597292934162</v>
      </c>
      <c r="I9" s="29">
        <f t="shared" si="1"/>
        <v>-9.0737302600376601E-2</v>
      </c>
      <c r="J9" s="29">
        <f t="shared" si="2"/>
        <v>8.207118380525294E-2</v>
      </c>
      <c r="K9" s="29">
        <f t="shared" si="3"/>
        <v>-0.89908751858117086</v>
      </c>
      <c r="P9" s="10"/>
      <c r="Q9" s="10" t="s">
        <v>193</v>
      </c>
      <c r="R9" s="10" t="s">
        <v>194</v>
      </c>
      <c r="S9" s="10" t="s">
        <v>195</v>
      </c>
      <c r="W9" s="9"/>
      <c r="X9" s="9"/>
      <c r="Y9" s="9"/>
      <c r="Z9" s="9"/>
    </row>
    <row r="10" spans="1:26">
      <c r="A10" s="41">
        <f t="shared" si="4"/>
        <v>546.9450232260815</v>
      </c>
      <c r="B10" s="25">
        <v>547</v>
      </c>
      <c r="C10" s="25">
        <v>73.22</v>
      </c>
      <c r="D10" s="25">
        <v>37.200000000000003</v>
      </c>
      <c r="E10" s="25">
        <v>33.4</v>
      </c>
      <c r="G10" s="29">
        <v>1.0640289240151533</v>
      </c>
      <c r="H10" s="29">
        <f t="shared" si="0"/>
        <v>1.0644249893416651</v>
      </c>
      <c r="I10" s="29">
        <f t="shared" si="1"/>
        <v>0.48040867544716415</v>
      </c>
      <c r="J10" s="29">
        <f t="shared" si="2"/>
        <v>-0.52197272900140845</v>
      </c>
      <c r="K10" s="29">
        <f t="shared" si="3"/>
        <v>1.4200541181328787</v>
      </c>
      <c r="P10" s="30" t="s">
        <v>198</v>
      </c>
      <c r="Q10" s="31">
        <v>2.2809865548276655</v>
      </c>
      <c r="R10" s="31">
        <v>0.6640682649739662</v>
      </c>
      <c r="S10" s="31">
        <v>5.4945180198368977E-2</v>
      </c>
      <c r="T10" s="10"/>
      <c r="U10" s="10"/>
      <c r="V10" s="10"/>
      <c r="W10" s="9"/>
      <c r="X10" s="9"/>
      <c r="Y10" s="9"/>
      <c r="Z10" s="9"/>
    </row>
    <row r="11" spans="1:26">
      <c r="A11" s="41">
        <f t="shared" si="4"/>
        <v>478.00898905355962</v>
      </c>
      <c r="B11" s="25">
        <v>538</v>
      </c>
      <c r="C11" s="25">
        <v>72.930000000000007</v>
      </c>
      <c r="D11" s="25">
        <v>32.200000000000003</v>
      </c>
      <c r="E11" s="25">
        <v>31.3</v>
      </c>
      <c r="G11" s="29">
        <v>0.56739787535631436</v>
      </c>
      <c r="H11" s="29">
        <f t="shared" si="0"/>
        <v>0.99958691892491391</v>
      </c>
      <c r="I11" s="29">
        <f t="shared" si="1"/>
        <v>0.46173535711190122</v>
      </c>
      <c r="J11" s="29">
        <f t="shared" si="2"/>
        <v>-0.85025746422242021</v>
      </c>
      <c r="K11" s="29">
        <f t="shared" si="3"/>
        <v>0.36131554485037842</v>
      </c>
      <c r="P11" s="30" t="s">
        <v>286</v>
      </c>
      <c r="Q11" s="31">
        <f>Q10/3*100</f>
        <v>76.032885160922177</v>
      </c>
      <c r="R11" s="31">
        <f>R10/3*100</f>
        <v>22.13560883246554</v>
      </c>
      <c r="S11" s="31">
        <f>S10/3*100</f>
        <v>1.8315060066122995</v>
      </c>
      <c r="T11" s="32"/>
      <c r="U11" s="32"/>
      <c r="V11" s="32"/>
      <c r="W11" s="9"/>
      <c r="X11" s="9"/>
      <c r="Y11" s="9"/>
      <c r="Z11" s="9"/>
    </row>
    <row r="12" spans="1:26">
      <c r="A12" s="41">
        <f t="shared" si="4"/>
        <v>337.68347350397539</v>
      </c>
      <c r="B12" s="25">
        <v>393</v>
      </c>
      <c r="C12" s="25">
        <v>65.52</v>
      </c>
      <c r="D12" s="25">
        <v>46.2</v>
      </c>
      <c r="E12" s="25">
        <v>29.1</v>
      </c>
      <c r="G12" s="29">
        <v>-0.443539420029335</v>
      </c>
      <c r="H12" s="29">
        <f t="shared" si="0"/>
        <v>-4.5026437789410532E-2</v>
      </c>
      <c r="I12" s="29">
        <f t="shared" si="1"/>
        <v>-1.5400121730520537E-2</v>
      </c>
      <c r="J12" s="29">
        <f t="shared" si="2"/>
        <v>6.8939794396412749E-2</v>
      </c>
      <c r="K12" s="29">
        <f t="shared" si="3"/>
        <v>-0.74783915096938458</v>
      </c>
      <c r="P12" s="30" t="s">
        <v>287</v>
      </c>
      <c r="Q12" s="31">
        <f>Q11</f>
        <v>76.032885160922177</v>
      </c>
      <c r="R12" s="31">
        <f>Q12+R11</f>
        <v>98.168493993387713</v>
      </c>
      <c r="S12" s="31">
        <f>R12+S11</f>
        <v>100.00000000000001</v>
      </c>
      <c r="T12" s="32"/>
      <c r="U12" s="32"/>
      <c r="W12" s="9"/>
      <c r="X12" s="9"/>
      <c r="Y12" s="9"/>
      <c r="Z12" s="9"/>
    </row>
    <row r="13" spans="1:26">
      <c r="A13" s="41">
        <f t="shared" si="4"/>
        <v>576.57226480768963</v>
      </c>
      <c r="B13" s="25">
        <v>484</v>
      </c>
      <c r="C13" s="25">
        <v>80.86</v>
      </c>
      <c r="D13" s="25">
        <v>23.7</v>
      </c>
      <c r="E13" s="25">
        <v>32.799999999999997</v>
      </c>
      <c r="G13" s="29">
        <v>1.2774703880065323</v>
      </c>
      <c r="H13" s="29">
        <f t="shared" si="0"/>
        <v>0.61055849642440685</v>
      </c>
      <c r="I13" s="29">
        <f t="shared" si="1"/>
        <v>0.97235402745203547</v>
      </c>
      <c r="J13" s="29">
        <f t="shared" si="2"/>
        <v>-1.4083415140981403</v>
      </c>
      <c r="K13" s="29">
        <f t="shared" si="3"/>
        <v>1.1175573829093062</v>
      </c>
      <c r="P13" s="9"/>
      <c r="Q13" s="9"/>
      <c r="T13" s="32"/>
      <c r="U13" s="32"/>
      <c r="W13" s="9"/>
      <c r="X13" s="9"/>
      <c r="Y13" s="9"/>
      <c r="Z13" s="9"/>
    </row>
    <row r="14" spans="1:26">
      <c r="A14" s="41">
        <f t="shared" si="4"/>
        <v>263.62311719422405</v>
      </c>
      <c r="B14" s="25">
        <v>253</v>
      </c>
      <c r="C14" s="25">
        <v>61.83</v>
      </c>
      <c r="D14" s="25">
        <v>51.8</v>
      </c>
      <c r="E14" s="25">
        <v>27.8</v>
      </c>
      <c r="G14" s="29">
        <v>-0.97708726419615111</v>
      </c>
      <c r="H14" s="29">
        <f t="shared" si="0"/>
        <v>-1.0536186442722064</v>
      </c>
      <c r="I14" s="29">
        <f t="shared" si="1"/>
        <v>-0.25300199985852762</v>
      </c>
      <c r="J14" s="29">
        <f t="shared" si="2"/>
        <v>0.43661869784394558</v>
      </c>
      <c r="K14" s="29">
        <f t="shared" si="3"/>
        <v>-1.4032487439537906</v>
      </c>
      <c r="P14" s="109" t="s">
        <v>288</v>
      </c>
      <c r="Q14" s="109"/>
      <c r="R14" s="109"/>
      <c r="S14" s="109"/>
      <c r="T14" s="32"/>
      <c r="U14" s="32"/>
      <c r="W14" s="9"/>
      <c r="X14" s="9"/>
      <c r="Y14" s="9"/>
      <c r="Z14" s="9"/>
    </row>
    <row r="15" spans="1:26">
      <c r="A15" s="41">
        <f t="shared" si="4"/>
        <v>241.06219542599638</v>
      </c>
      <c r="B15" s="25">
        <v>270</v>
      </c>
      <c r="C15" s="25">
        <v>47.83</v>
      </c>
      <c r="D15" s="25">
        <v>69.400000000000006</v>
      </c>
      <c r="E15" s="25">
        <v>29.2</v>
      </c>
      <c r="G15" s="29">
        <v>-1.1396213346711679</v>
      </c>
      <c r="H15" s="29">
        <f t="shared" si="0"/>
        <v>-0.93114673348500987</v>
      </c>
      <c r="I15" s="29">
        <f t="shared" si="1"/>
        <v>-1.1544725401815903</v>
      </c>
      <c r="J15" s="29">
        <f t="shared" si="2"/>
        <v>1.5921809658219075</v>
      </c>
      <c r="K15" s="29">
        <f t="shared" si="3"/>
        <v>-0.69742302843212367</v>
      </c>
      <c r="P15" s="9"/>
      <c r="Q15" s="9" t="s">
        <v>193</v>
      </c>
      <c r="R15" s="9" t="s">
        <v>194</v>
      </c>
      <c r="S15" s="9" t="s">
        <v>195</v>
      </c>
      <c r="T15" s="32"/>
      <c r="U15" s="32"/>
      <c r="W15" s="9"/>
      <c r="X15" s="9"/>
      <c r="Y15" s="9"/>
      <c r="Z15" s="9"/>
    </row>
    <row r="16" spans="1:26">
      <c r="A16" s="41">
        <f t="shared" si="4"/>
        <v>486.17630839986782</v>
      </c>
      <c r="B16" s="25">
        <v>506</v>
      </c>
      <c r="C16" s="25">
        <v>59.87</v>
      </c>
      <c r="D16" s="25">
        <v>47.9</v>
      </c>
      <c r="E16" s="25">
        <v>33.299999999999997</v>
      </c>
      <c r="G16" s="29">
        <v>0.62623712278876353</v>
      </c>
      <c r="H16" s="29">
        <f t="shared" si="0"/>
        <v>0.76905155744313192</v>
      </c>
      <c r="I16" s="29">
        <f t="shared" si="1"/>
        <v>-0.37920787550375645</v>
      </c>
      <c r="J16" s="29">
        <f t="shared" si="2"/>
        <v>0.18055660437155646</v>
      </c>
      <c r="K16" s="29">
        <f t="shared" si="3"/>
        <v>1.3696379955956159</v>
      </c>
      <c r="P16" s="26" t="s">
        <v>283</v>
      </c>
      <c r="Q16" s="31">
        <v>-0.61254722012439455</v>
      </c>
      <c r="R16" s="31">
        <v>-0.42459393548240426</v>
      </c>
      <c r="S16" s="31">
        <v>0.66671275154255194</v>
      </c>
      <c r="T16" s="32"/>
      <c r="U16" s="32"/>
      <c r="W16" s="9"/>
      <c r="X16" s="9"/>
      <c r="Y16" s="9"/>
      <c r="Z16" s="9"/>
    </row>
    <row r="17" spans="1:21">
      <c r="A17" s="26" t="s">
        <v>196</v>
      </c>
      <c r="B17" s="33">
        <f>AVERAGE(B5:B16)</f>
        <v>399.25</v>
      </c>
      <c r="C17" s="33">
        <f>AVERAGE(C5:C16)</f>
        <v>65.759166666666687</v>
      </c>
      <c r="D17" s="33">
        <f>AVERAGE(D5:D16)</f>
        <v>45.15</v>
      </c>
      <c r="E17" s="33">
        <f>AVERAGE(E5:E16)</f>
        <v>30.583333333333332</v>
      </c>
      <c r="G17" s="26" t="s">
        <v>196</v>
      </c>
      <c r="H17" s="33">
        <f>AVERAGE(H5:H16)</f>
        <v>0</v>
      </c>
      <c r="I17" s="33">
        <f>AVERAGE(I5:I16)</f>
        <v>-1.2952601953960159E-15</v>
      </c>
      <c r="J17" s="33">
        <f>AVERAGE(J5:J16)</f>
        <v>8.7892656116158222E-17</v>
      </c>
      <c r="K17" s="33">
        <f>AVERAGE(K5:K16)</f>
        <v>4.2558549277297669E-16</v>
      </c>
      <c r="P17" s="26" t="s">
        <v>263</v>
      </c>
      <c r="Q17" s="31">
        <v>0.64061859198812876</v>
      </c>
      <c r="R17" s="31">
        <v>0.22742392684738075</v>
      </c>
      <c r="S17" s="31">
        <v>0.73340723823566456</v>
      </c>
      <c r="T17" s="32"/>
      <c r="U17" s="32"/>
    </row>
    <row r="18" spans="1:21">
      <c r="A18" s="26" t="s">
        <v>244</v>
      </c>
      <c r="B18" s="33">
        <f>_xlfn.STDEV.S(B5:B16)</f>
        <v>138.80733868469372</v>
      </c>
      <c r="C18" s="33">
        <f>_xlfn.STDEV.S(C5:C16)</f>
        <v>15.530180270763788</v>
      </c>
      <c r="D18" s="33">
        <f>_xlfn.STDEV.S(D5:D16)</f>
        <v>15.230680758378364</v>
      </c>
      <c r="E18" s="33">
        <f>_xlfn.STDEV.S(E5:E16)</f>
        <v>1.9834924815190054</v>
      </c>
      <c r="G18" s="26" t="s">
        <v>244</v>
      </c>
      <c r="H18" s="33">
        <f>_xlfn.STDEV.S(H5:H16)</f>
        <v>1</v>
      </c>
      <c r="I18" s="33">
        <f>_xlfn.STDEV.S(I5:I16)</f>
        <v>1.0000000000000071</v>
      </c>
      <c r="J18" s="33">
        <f>_xlfn.STDEV.S(J5:J16)</f>
        <v>0.99999999999999878</v>
      </c>
      <c r="K18" s="33">
        <f>_xlfn.STDEV.S(K5:K16)</f>
        <v>1</v>
      </c>
      <c r="P18" s="26" t="s">
        <v>224</v>
      </c>
      <c r="Q18" s="31">
        <v>-0.46302669762879134</v>
      </c>
      <c r="R18" s="31">
        <v>0.87635514915408641</v>
      </c>
      <c r="S18" s="31">
        <v>0.13269487493529941</v>
      </c>
    </row>
    <row r="19" spans="1:21">
      <c r="A19" s="26" t="s">
        <v>136</v>
      </c>
      <c r="B19" s="29">
        <f>CORREL(A5:A16,B5:B16)</f>
        <v>0.93567129233010271</v>
      </c>
      <c r="G19" s="26" t="s">
        <v>136</v>
      </c>
      <c r="H19" s="29">
        <f>CORREL(G5:G16,H5:H16)</f>
        <v>0.93567129233010271</v>
      </c>
    </row>
    <row r="21" spans="1:21">
      <c r="H21" s="109" t="s">
        <v>289</v>
      </c>
      <c r="I21" s="109"/>
      <c r="J21" s="109"/>
      <c r="K21" s="109"/>
    </row>
    <row r="22" spans="1:21">
      <c r="H22" s="26" t="s">
        <v>510</v>
      </c>
      <c r="I22" s="26" t="s">
        <v>193</v>
      </c>
      <c r="J22" s="26" t="s">
        <v>194</v>
      </c>
      <c r="K22" s="26" t="s">
        <v>195</v>
      </c>
    </row>
    <row r="23" spans="1:21">
      <c r="H23" s="29">
        <f>H5</f>
        <v>1.1364672898047219</v>
      </c>
      <c r="I23" s="29">
        <f t="array" ref="I23:K34">MMULT(I5:K16,Q16:S18)</f>
        <v>-1.2404907427784224</v>
      </c>
      <c r="J23" s="29">
        <v>0.48476944404260536</v>
      </c>
      <c r="K23" s="29">
        <v>0.1319915884938585</v>
      </c>
    </row>
    <row r="24" spans="1:21">
      <c r="H24" s="29">
        <f t="shared" ref="H24:H34" si="5">H6</f>
        <v>-1.8028585690879979</v>
      </c>
      <c r="I24" s="29">
        <v>2.3919501550841167</v>
      </c>
      <c r="J24" s="29">
        <v>0.53211419666811</v>
      </c>
      <c r="K24" s="29">
        <v>-0.42358277549411438</v>
      </c>
    </row>
    <row r="25" spans="1:21">
      <c r="H25" s="29">
        <f t="shared" si="5"/>
        <v>-0.52770985089189149</v>
      </c>
      <c r="I25" s="29">
        <v>1.2724018709392715</v>
      </c>
      <c r="J25" s="29">
        <v>-3.0852524474297982E-3</v>
      </c>
      <c r="K25" s="29">
        <v>0.34428724114921444</v>
      </c>
    </row>
    <row r="26" spans="1:21">
      <c r="H26" s="29">
        <f t="shared" si="5"/>
        <v>0.62496695651701817</v>
      </c>
      <c r="I26" s="29">
        <v>-1.9001701153918218</v>
      </c>
      <c r="J26" s="29">
        <v>-1.3655811608975126</v>
      </c>
      <c r="K26" s="29">
        <v>0.17190219557952408</v>
      </c>
    </row>
    <row r="27" spans="1:21">
      <c r="H27" s="29">
        <f t="shared" si="5"/>
        <v>-0.84469597292934162</v>
      </c>
      <c r="I27" s="29">
        <v>0.52445873328947079</v>
      </c>
      <c r="J27" s="29">
        <v>-0.73072851714062392</v>
      </c>
      <c r="K27" s="29">
        <v>-0.11960842226492124</v>
      </c>
    </row>
    <row r="28" spans="1:21">
      <c r="H28" s="29">
        <f t="shared" si="5"/>
        <v>1.0644249893416651</v>
      </c>
      <c r="I28" s="29">
        <v>-1.2861814021511186</v>
      </c>
      <c r="J28" s="29">
        <v>0.92178404061846908</v>
      </c>
      <c r="K28" s="29">
        <v>0.12590991586803496</v>
      </c>
    </row>
    <row r="29" spans="1:21">
      <c r="H29" s="29">
        <f t="shared" si="5"/>
        <v>0.99958691892491391</v>
      </c>
      <c r="I29" s="29">
        <v>-0.99482419252362153</v>
      </c>
      <c r="J29" s="29">
        <v>-7.2778185573231235E-2</v>
      </c>
      <c r="K29" s="29">
        <v>-0.26779540716396555</v>
      </c>
    </row>
    <row r="30" spans="1:21">
      <c r="H30" s="29">
        <f t="shared" si="5"/>
        <v>-4.5026437789410532E-2</v>
      </c>
      <c r="I30" s="29">
        <v>0.39986690820466197</v>
      </c>
      <c r="J30" s="29">
        <v>-0.63315533364088727</v>
      </c>
      <c r="K30" s="29">
        <v>-5.8940935929840961E-2</v>
      </c>
    </row>
    <row r="31" spans="1:21">
      <c r="H31" s="29">
        <f t="shared" si="5"/>
        <v>0.61055849642440685</v>
      </c>
      <c r="I31" s="29">
        <v>-2.0152814187116541</v>
      </c>
      <c r="J31" s="29">
        <v>0.24623098631132512</v>
      </c>
      <c r="K31" s="29">
        <v>-0.23631289407315167</v>
      </c>
    </row>
    <row r="32" spans="1:21">
      <c r="H32" s="29">
        <f t="shared" si="5"/>
        <v>-1.0536186442722064</v>
      </c>
      <c r="I32" s="29">
        <v>1.0844233590124053</v>
      </c>
      <c r="J32" s="29">
        <v>-1.0230236087043976</v>
      </c>
      <c r="K32" s="29">
        <v>-3.4664262705731252E-2</v>
      </c>
    </row>
    <row r="33" spans="2:19">
      <c r="H33" s="29">
        <f t="shared" si="5"/>
        <v>-0.93114673348500987</v>
      </c>
      <c r="I33" s="29">
        <v>2.0500751554185079</v>
      </c>
      <c r="J33" s="29">
        <v>0.24109182463581469</v>
      </c>
      <c r="K33" s="29">
        <v>0.30547101953525235</v>
      </c>
    </row>
    <row r="34" spans="2:19">
      <c r="H34" s="29">
        <f t="shared" si="5"/>
        <v>0.76905155744313192</v>
      </c>
      <c r="I34" s="29">
        <v>-0.28622831039178748</v>
      </c>
      <c r="J34" s="29">
        <v>1.40236156612777</v>
      </c>
      <c r="K34" s="29">
        <v>6.1342737005832232E-2</v>
      </c>
    </row>
    <row r="36" spans="2:19">
      <c r="H36" s="109" t="s">
        <v>290</v>
      </c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</row>
    <row r="37" spans="2:19">
      <c r="H37" s="29">
        <f t="array" ref="H37:S38">TRANSPOSE(I23:J34)</f>
        <v>-1.2404907427784224</v>
      </c>
      <c r="I37" s="29">
        <v>2.3919501550841167</v>
      </c>
      <c r="J37" s="29">
        <v>1.2724018709392715</v>
      </c>
      <c r="K37" s="29">
        <v>-1.9001701153918218</v>
      </c>
      <c r="L37" s="29">
        <v>0.52445873328947079</v>
      </c>
      <c r="M37" s="29">
        <v>-1.2861814021511186</v>
      </c>
      <c r="N37" s="29">
        <v>-0.99482419252362153</v>
      </c>
      <c r="O37" s="29">
        <v>0.39986690820466197</v>
      </c>
      <c r="P37" s="29">
        <v>-2.0152814187116541</v>
      </c>
      <c r="Q37" s="29">
        <v>1.0844233590124053</v>
      </c>
      <c r="R37" s="29">
        <v>2.0500751554185079</v>
      </c>
      <c r="S37" s="29">
        <v>-0.28622831039178748</v>
      </c>
    </row>
    <row r="38" spans="2:19">
      <c r="H38" s="29">
        <v>0.48476944404260536</v>
      </c>
      <c r="I38" s="29">
        <v>0.53211419666811</v>
      </c>
      <c r="J38" s="29">
        <v>-3.0852524474297982E-3</v>
      </c>
      <c r="K38" s="29">
        <v>-1.3655811608975126</v>
      </c>
      <c r="L38" s="29">
        <v>-0.73072851714062392</v>
      </c>
      <c r="M38" s="29">
        <v>0.92178404061846908</v>
      </c>
      <c r="N38" s="29">
        <v>-7.2778185573231235E-2</v>
      </c>
      <c r="O38" s="29">
        <v>-0.63315533364088727</v>
      </c>
      <c r="P38" s="29">
        <v>0.24623098631132512</v>
      </c>
      <c r="Q38" s="29">
        <v>-1.0230236087043976</v>
      </c>
      <c r="R38" s="29">
        <v>0.24109182463581469</v>
      </c>
      <c r="S38" s="29">
        <v>1.40236156612777</v>
      </c>
    </row>
    <row r="41" spans="2:19">
      <c r="H41" s="109" t="s">
        <v>291</v>
      </c>
      <c r="I41" s="109"/>
      <c r="K41" s="109" t="s">
        <v>292</v>
      </c>
      <c r="L41" s="109"/>
      <c r="O41" s="28" t="s">
        <v>293</v>
      </c>
      <c r="R41" s="28" t="s">
        <v>294</v>
      </c>
    </row>
    <row r="42" spans="2:19">
      <c r="H42" s="29">
        <f t="array" ref="H42:I43">MMULT(H37:S38,I23:J34)</f>
        <v>25.090852103104432</v>
      </c>
      <c r="I42" s="29">
        <v>-9.7735936011034141E-10</v>
      </c>
      <c r="K42" s="29">
        <f t="array" ref="K42:L43">MINVERSE(H42:I43)</f>
        <v>3.985516298492997E-2</v>
      </c>
      <c r="L42" s="29">
        <v>5.3325318066059649E-12</v>
      </c>
      <c r="O42" s="29">
        <f t="array" ref="O42:O43">MMULT(H37:S38,H23:H34)</f>
        <v>-14.907658133541553</v>
      </c>
      <c r="Q42" s="26" t="s">
        <v>295</v>
      </c>
      <c r="R42" s="29">
        <f t="array" ref="R42:R43">MMULT(K42:L43,O42:O43)</f>
        <v>-0.59414714462324447</v>
      </c>
    </row>
    <row r="43" spans="2:19">
      <c r="H43" s="29">
        <v>-9.7735936011034141E-10</v>
      </c>
      <c r="I43" s="29">
        <v>7.3047509147136429</v>
      </c>
      <c r="K43" s="29">
        <v>5.3325318066059657E-12</v>
      </c>
      <c r="L43" s="29">
        <v>0.13689720726626603</v>
      </c>
      <c r="O43" s="29">
        <v>2.3761686534500339</v>
      </c>
      <c r="Q43" s="26" t="s">
        <v>296</v>
      </c>
      <c r="R43" s="29">
        <v>0.32529085257145796</v>
      </c>
    </row>
    <row r="48" spans="2:19" ht="18" thickBot="1">
      <c r="B48" s="26" t="s">
        <v>297</v>
      </c>
      <c r="C48" s="26" t="s">
        <v>298</v>
      </c>
      <c r="D48" s="26" t="s">
        <v>299</v>
      </c>
      <c r="E48" s="26" t="s">
        <v>300</v>
      </c>
    </row>
    <row r="49" spans="1:11" ht="18.600000000000001" thickTop="1" thickBot="1">
      <c r="B49" s="34">
        <f>B64-SUMPRODUCT(C49:E49,C64:E64)</f>
        <v>-1557.4408039020138</v>
      </c>
      <c r="C49" s="35">
        <f>I49*$B$65/C65</f>
        <v>6.5972853435497614</v>
      </c>
      <c r="D49" s="35">
        <f>J49*$B$65/D65</f>
        <v>2.3413203920787495</v>
      </c>
      <c r="E49" s="35">
        <f>K49*$B$65/E65</f>
        <v>46.337270901763887</v>
      </c>
      <c r="I49" s="29">
        <f>MMULT(I81:K81,S106:S108)</f>
        <v>0.73812401890170054</v>
      </c>
      <c r="J49" s="29">
        <f t="array" ref="J49">MMULT(I82:K82,S106:S108)</f>
        <v>0.25690214784562337</v>
      </c>
      <c r="K49" s="29">
        <f t="array" ref="K49">MMULT(I83:K83,S106:S108)</f>
        <v>0.66213810680813034</v>
      </c>
    </row>
    <row r="50" spans="1:11" ht="18" thickTop="1">
      <c r="A50" s="28" t="s">
        <v>275</v>
      </c>
      <c r="B50" s="28" t="s">
        <v>277</v>
      </c>
      <c r="C50" s="108"/>
      <c r="D50" s="108"/>
      <c r="E50" s="108"/>
      <c r="H50" s="109" t="s">
        <v>280</v>
      </c>
      <c r="I50" s="109"/>
      <c r="J50" s="109"/>
      <c r="K50" s="109"/>
    </row>
    <row r="51" spans="1:11">
      <c r="A51" s="28" t="s">
        <v>275</v>
      </c>
      <c r="B51" s="26" t="s">
        <v>510</v>
      </c>
      <c r="C51" s="26" t="s">
        <v>283</v>
      </c>
      <c r="D51" s="26" t="s">
        <v>263</v>
      </c>
      <c r="E51" s="26" t="s">
        <v>224</v>
      </c>
      <c r="H51" s="26" t="s">
        <v>510</v>
      </c>
      <c r="I51" s="26" t="s">
        <v>283</v>
      </c>
      <c r="J51" s="26" t="s">
        <v>263</v>
      </c>
      <c r="K51" s="26" t="s">
        <v>224</v>
      </c>
    </row>
    <row r="52" spans="1:11">
      <c r="A52" s="29">
        <f>SUMPRODUCT($C$49:$E$49,C52:E52)+$B$49</f>
        <v>537.52244475576276</v>
      </c>
      <c r="B52" s="25">
        <v>557</v>
      </c>
      <c r="C52" s="25">
        <v>75.73</v>
      </c>
      <c r="D52" s="25">
        <v>36.200000000000003</v>
      </c>
      <c r="E52" s="25">
        <v>32.6</v>
      </c>
      <c r="G52" s="25">
        <f>SUMPRODUCT($I$49:$K$49,I52:K52)</f>
        <v>0.99614650108561187</v>
      </c>
      <c r="H52" s="29">
        <f t="shared" ref="H52:H63" si="6">(B52-B$64)/B$65</f>
        <v>1.1364672898047219</v>
      </c>
      <c r="I52" s="29">
        <f t="shared" ref="I52:I63" si="7">(C52-C$64)/C$65</f>
        <v>0.6420294651765136</v>
      </c>
      <c r="J52" s="29">
        <f t="shared" ref="J52:J63" si="8">(D52-D$64)/D$65</f>
        <v>-0.58762967604561078</v>
      </c>
      <c r="K52" s="29">
        <f t="shared" ref="K52:K63" si="9">(E52-E$64)/E$65</f>
        <v>1.0167251378347844</v>
      </c>
    </row>
    <row r="53" spans="1:11">
      <c r="A53" s="29">
        <f t="shared" ref="A53:A63" si="10">SUMPRODUCT($C$49:$E$49,C53:E53)+$B$49</f>
        <v>180.82881256188989</v>
      </c>
      <c r="B53" s="25">
        <v>149</v>
      </c>
      <c r="C53" s="25">
        <v>35.11</v>
      </c>
      <c r="D53" s="25">
        <v>65.599999999999994</v>
      </c>
      <c r="E53" s="25">
        <v>29.2</v>
      </c>
      <c r="G53" s="25">
        <f t="shared" ref="G53:G63" si="11">SUMPRODUCT($I$49:$K$49,I53:K53)</f>
        <v>-1.5735564812914005</v>
      </c>
      <c r="H53" s="29">
        <f t="shared" si="6"/>
        <v>-1.8028585690879979</v>
      </c>
      <c r="I53" s="29">
        <f t="shared" si="7"/>
        <v>-1.9735229168179729</v>
      </c>
      <c r="J53" s="29">
        <f t="shared" si="8"/>
        <v>1.3426845670539378</v>
      </c>
      <c r="K53" s="29">
        <f t="shared" si="9"/>
        <v>-0.69742302843212367</v>
      </c>
    </row>
    <row r="54" spans="1:11">
      <c r="A54" s="29">
        <f t="shared" si="10"/>
        <v>330.8943728384445</v>
      </c>
      <c r="B54" s="25">
        <v>326</v>
      </c>
      <c r="C54" s="25">
        <v>57.24</v>
      </c>
      <c r="D54" s="25">
        <v>61.4</v>
      </c>
      <c r="E54" s="25">
        <v>29.5</v>
      </c>
      <c r="G54" s="25">
        <f t="shared" si="11"/>
        <v>-0.49244966303134785</v>
      </c>
      <c r="H54" s="29">
        <f t="shared" si="6"/>
        <v>-0.52770985089189149</v>
      </c>
      <c r="I54" s="29">
        <f t="shared" si="7"/>
        <v>-0.54855555557873148</v>
      </c>
      <c r="J54" s="29">
        <f t="shared" si="8"/>
        <v>1.0669253894682882</v>
      </c>
      <c r="K54" s="29">
        <f t="shared" si="9"/>
        <v>-0.54617466082033739</v>
      </c>
    </row>
    <row r="55" spans="1:11">
      <c r="A55" s="29">
        <f t="shared" si="10"/>
        <v>512.63588768905561</v>
      </c>
      <c r="B55" s="25">
        <v>486</v>
      </c>
      <c r="C55" s="25">
        <v>94.62</v>
      </c>
      <c r="D55" s="25">
        <v>23.8</v>
      </c>
      <c r="E55" s="25">
        <v>30</v>
      </c>
      <c r="G55" s="25">
        <f t="shared" si="11"/>
        <v>0.81685801891653531</v>
      </c>
      <c r="H55" s="29">
        <f t="shared" si="6"/>
        <v>0.62496695651701817</v>
      </c>
      <c r="I55" s="29">
        <f t="shared" si="7"/>
        <v>1.858370787083846</v>
      </c>
      <c r="J55" s="29">
        <f t="shared" si="8"/>
        <v>-1.4017758193937202</v>
      </c>
      <c r="K55" s="29">
        <f t="shared" si="9"/>
        <v>-0.29409404813402756</v>
      </c>
    </row>
    <row r="56" spans="1:11">
      <c r="A56" s="29">
        <f t="shared" si="10"/>
        <v>310.24517611866736</v>
      </c>
      <c r="B56" s="25">
        <v>282</v>
      </c>
      <c r="C56" s="25">
        <v>64.349999999999994</v>
      </c>
      <c r="D56" s="25">
        <v>46.4</v>
      </c>
      <c r="E56" s="25">
        <v>28.8</v>
      </c>
      <c r="G56" s="25">
        <f t="shared" si="11"/>
        <v>-0.64121122647204354</v>
      </c>
      <c r="H56" s="29">
        <f t="shared" si="6"/>
        <v>-0.84469597292934162</v>
      </c>
      <c r="I56" s="29">
        <f t="shared" si="7"/>
        <v>-9.0737302600376601E-2</v>
      </c>
      <c r="J56" s="29">
        <f t="shared" si="8"/>
        <v>8.207118380525294E-2</v>
      </c>
      <c r="K56" s="29">
        <f t="shared" si="9"/>
        <v>-0.89908751858117086</v>
      </c>
    </row>
    <row r="57" spans="1:11">
      <c r="A57" s="29">
        <f t="shared" si="10"/>
        <v>560.37439565694308</v>
      </c>
      <c r="B57" s="25">
        <v>547</v>
      </c>
      <c r="C57" s="25">
        <v>73.22</v>
      </c>
      <c r="D57" s="25">
        <v>37.200000000000003</v>
      </c>
      <c r="E57" s="25">
        <v>33.4</v>
      </c>
      <c r="G57" s="25">
        <f t="shared" si="11"/>
        <v>1.1607772123845936</v>
      </c>
      <c r="H57" s="29">
        <f t="shared" si="6"/>
        <v>1.0644249893416651</v>
      </c>
      <c r="I57" s="29">
        <f t="shared" si="7"/>
        <v>0.48040867544716415</v>
      </c>
      <c r="J57" s="29">
        <f t="shared" si="8"/>
        <v>-0.52197272900140845</v>
      </c>
      <c r="K57" s="29">
        <f t="shared" si="9"/>
        <v>1.4200541181328787</v>
      </c>
    </row>
    <row r="58" spans="1:11">
      <c r="A58" s="29">
        <f t="shared" si="10"/>
        <v>449.44631205321571</v>
      </c>
      <c r="B58" s="25">
        <v>538</v>
      </c>
      <c r="C58" s="25">
        <v>72.930000000000007</v>
      </c>
      <c r="D58" s="25">
        <v>32.200000000000003</v>
      </c>
      <c r="E58" s="25">
        <v>31.3</v>
      </c>
      <c r="G58" s="25">
        <f t="shared" si="11"/>
        <v>0.36162577950751307</v>
      </c>
      <c r="H58" s="29">
        <f t="shared" si="6"/>
        <v>0.99958691892491391</v>
      </c>
      <c r="I58" s="29">
        <f t="shared" si="7"/>
        <v>0.46173535711190122</v>
      </c>
      <c r="J58" s="29">
        <f t="shared" si="8"/>
        <v>-0.85025746422242021</v>
      </c>
      <c r="K58" s="29">
        <f t="shared" si="9"/>
        <v>0.36131554485037842</v>
      </c>
    </row>
    <row r="59" spans="1:11">
      <c r="A59" s="29">
        <f t="shared" si="10"/>
        <v>331.39691716273387</v>
      </c>
      <c r="B59" s="25">
        <v>393</v>
      </c>
      <c r="C59" s="25">
        <v>65.52</v>
      </c>
      <c r="D59" s="25">
        <v>46.2</v>
      </c>
      <c r="E59" s="25">
        <v>29.1</v>
      </c>
      <c r="G59" s="25">
        <f t="shared" si="11"/>
        <v>-0.48882921811070101</v>
      </c>
      <c r="H59" s="29">
        <f t="shared" si="6"/>
        <v>-4.5026437789410532E-2</v>
      </c>
      <c r="I59" s="29">
        <f t="shared" si="7"/>
        <v>-1.5400121730520537E-2</v>
      </c>
      <c r="J59" s="29">
        <f t="shared" si="8"/>
        <v>6.8939794396412749E-2</v>
      </c>
      <c r="K59" s="29">
        <f t="shared" si="9"/>
        <v>-0.74783915096938458</v>
      </c>
    </row>
    <row r="60" spans="1:11">
      <c r="A60" s="29">
        <f t="shared" si="10"/>
        <v>551.36746784754155</v>
      </c>
      <c r="B60" s="25">
        <v>484</v>
      </c>
      <c r="C60" s="25">
        <v>80.86</v>
      </c>
      <c r="D60" s="25">
        <v>23.7</v>
      </c>
      <c r="E60" s="25">
        <v>32.799999999999997</v>
      </c>
      <c r="G60" s="25">
        <f t="shared" si="11"/>
        <v>1.0958892324351981</v>
      </c>
      <c r="H60" s="29">
        <f t="shared" si="6"/>
        <v>0.61055849642440685</v>
      </c>
      <c r="I60" s="29">
        <f t="shared" si="7"/>
        <v>0.97235402745203547</v>
      </c>
      <c r="J60" s="29">
        <f t="shared" si="8"/>
        <v>-1.4083415140981403</v>
      </c>
      <c r="K60" s="29">
        <f t="shared" si="9"/>
        <v>1.1175573829093062</v>
      </c>
    </row>
    <row r="61" spans="1:11">
      <c r="A61" s="29">
        <f t="shared" si="10"/>
        <v>259.92587626838326</v>
      </c>
      <c r="B61" s="25">
        <v>253</v>
      </c>
      <c r="C61" s="25">
        <v>61.83</v>
      </c>
      <c r="D61" s="25">
        <v>51.8</v>
      </c>
      <c r="E61" s="25">
        <v>27.8</v>
      </c>
      <c r="G61" s="25">
        <f t="shared" si="11"/>
        <v>-1.0037230383625249</v>
      </c>
      <c r="H61" s="29">
        <f t="shared" si="6"/>
        <v>-1.0536186442722064</v>
      </c>
      <c r="I61" s="29">
        <f t="shared" si="7"/>
        <v>-0.25300199985852762</v>
      </c>
      <c r="J61" s="29">
        <f t="shared" si="8"/>
        <v>0.43661869784394558</v>
      </c>
      <c r="K61" s="29">
        <f t="shared" si="9"/>
        <v>-1.4032487439537906</v>
      </c>
    </row>
    <row r="62" spans="1:11">
      <c r="A62" s="29">
        <f t="shared" si="10"/>
        <v>273.64329962174202</v>
      </c>
      <c r="B62" s="25">
        <v>270</v>
      </c>
      <c r="C62" s="25">
        <v>47.83</v>
      </c>
      <c r="D62" s="25">
        <v>69.400000000000006</v>
      </c>
      <c r="E62" s="25">
        <v>29.2</v>
      </c>
      <c r="G62" s="25">
        <f t="shared" si="11"/>
        <v>-0.90489956488236256</v>
      </c>
      <c r="H62" s="29">
        <f t="shared" si="6"/>
        <v>-0.93114673348500987</v>
      </c>
      <c r="I62" s="29">
        <f t="shared" si="7"/>
        <v>-1.1544725401815903</v>
      </c>
      <c r="J62" s="29">
        <f t="shared" si="8"/>
        <v>1.5921809658219075</v>
      </c>
      <c r="K62" s="29">
        <f t="shared" si="9"/>
        <v>-0.69742302843212367</v>
      </c>
    </row>
    <row r="63" spans="1:11">
      <c r="A63" s="29">
        <f t="shared" si="10"/>
        <v>492.71903742561949</v>
      </c>
      <c r="B63" s="25">
        <v>506</v>
      </c>
      <c r="C63" s="25">
        <v>59.87</v>
      </c>
      <c r="D63" s="25">
        <v>47.9</v>
      </c>
      <c r="E63" s="25">
        <v>33.299999999999997</v>
      </c>
      <c r="G63" s="25">
        <f t="shared" si="11"/>
        <v>0.67337244782092043</v>
      </c>
      <c r="H63" s="29">
        <f t="shared" si="6"/>
        <v>0.76905155744313192</v>
      </c>
      <c r="I63" s="29">
        <f t="shared" si="7"/>
        <v>-0.37920787550375645</v>
      </c>
      <c r="J63" s="29">
        <f t="shared" si="8"/>
        <v>0.18055660437155646</v>
      </c>
      <c r="K63" s="29">
        <f t="shared" si="9"/>
        <v>1.3696379955956159</v>
      </c>
    </row>
    <row r="64" spans="1:11">
      <c r="A64" s="25" t="s">
        <v>196</v>
      </c>
      <c r="B64" s="33">
        <f>AVERAGE(B52:B63)</f>
        <v>399.25</v>
      </c>
      <c r="C64" s="33">
        <f>AVERAGE(C52:C63)</f>
        <v>65.759166666666687</v>
      </c>
      <c r="D64" s="33">
        <f>AVERAGE(D52:D63)</f>
        <v>45.15</v>
      </c>
      <c r="E64" s="33">
        <f>AVERAGE(E52:E63)</f>
        <v>30.583333333333332</v>
      </c>
      <c r="H64" s="33">
        <f>AVERAGE(H52:H63)</f>
        <v>0</v>
      </c>
      <c r="I64" s="33">
        <f>AVERAGE(I52:I63)</f>
        <v>-1.2952601953960159E-15</v>
      </c>
      <c r="J64" s="33">
        <f>AVERAGE(J52:J63)</f>
        <v>8.7892656116158222E-17</v>
      </c>
      <c r="K64" s="33">
        <f>AVERAGE(K52:K63)</f>
        <v>4.2558549277297669E-16</v>
      </c>
    </row>
    <row r="65" spans="1:16">
      <c r="A65" s="25" t="s">
        <v>244</v>
      </c>
      <c r="B65" s="33">
        <f>STDEV(B52:B63)</f>
        <v>138.80733868469372</v>
      </c>
      <c r="C65" s="33">
        <f>STDEV(C52:C63)</f>
        <v>15.530180270763788</v>
      </c>
      <c r="D65" s="33">
        <f>STDEV(D52:D63)</f>
        <v>15.230680758378364</v>
      </c>
      <c r="E65" s="33">
        <f>STDEV(E52:E63)</f>
        <v>1.9834924815190054</v>
      </c>
      <c r="H65" s="33">
        <f>STDEV(H52:H63)</f>
        <v>1</v>
      </c>
      <c r="I65" s="33">
        <f>STDEV(I52:I63)</f>
        <v>1.0000000000000071</v>
      </c>
      <c r="J65" s="33">
        <f>STDEV(J52:J63)</f>
        <v>0.99999999999999878</v>
      </c>
      <c r="K65" s="33">
        <f>STDEV(K52:K63)</f>
        <v>1</v>
      </c>
    </row>
    <row r="66" spans="1:16">
      <c r="A66" s="25">
        <f>CORREL(A52:A63,B52:B63)</f>
        <v>0.95284937048981488</v>
      </c>
      <c r="G66" s="25">
        <f>CORREL(G52:G63,H52:H63)</f>
        <v>0.95284937048981522</v>
      </c>
    </row>
    <row r="67" spans="1:16">
      <c r="H67" s="109" t="s">
        <v>197</v>
      </c>
      <c r="I67" s="109"/>
      <c r="J67" s="109"/>
      <c r="K67" s="109"/>
    </row>
    <row r="68" spans="1:16">
      <c r="I68" s="26" t="s">
        <v>283</v>
      </c>
      <c r="J68" s="26" t="s">
        <v>263</v>
      </c>
      <c r="K68" s="26" t="s">
        <v>224</v>
      </c>
    </row>
    <row r="69" spans="1:16">
      <c r="H69" s="26" t="s">
        <v>283</v>
      </c>
      <c r="I69" s="29">
        <f>CORREL($I$52:$I$63,I52:I63)</f>
        <v>0.99999999999999989</v>
      </c>
      <c r="J69" s="29">
        <f>CORREL($I$52:$I$63,J52:J63)</f>
        <v>-0.93233761909487523</v>
      </c>
      <c r="K69" s="29">
        <f>CORREL($I$52:$I$63,K52:K63)</f>
        <v>0.40471087584412418</v>
      </c>
    </row>
    <row r="70" spans="1:16">
      <c r="H70" s="26" t="s">
        <v>263</v>
      </c>
      <c r="I70" s="29">
        <f>CORREL($J$52:$J$63,I52:I63)</f>
        <v>-0.93233761909487523</v>
      </c>
      <c r="J70" s="29">
        <f>CORREL($J$52:$J$63,J52:J63)</f>
        <v>1.0000000000000002</v>
      </c>
      <c r="K70" s="29">
        <f>CORREL($J$52:$J$63,K52:K63)</f>
        <v>-0.53889546234177332</v>
      </c>
    </row>
    <row r="71" spans="1:16">
      <c r="H71" s="26" t="s">
        <v>224</v>
      </c>
      <c r="I71" s="29">
        <f>CORREL($K$52:$K$63,I52:I63)</f>
        <v>0.40471087584412418</v>
      </c>
      <c r="J71" s="29">
        <f>CORREL($K$52:$K$63,J52:J63)</f>
        <v>-0.53889546234177332</v>
      </c>
      <c r="K71" s="29">
        <f>CORREL($K$52:$K$63,K52:K63)</f>
        <v>1.0000000000000002</v>
      </c>
    </row>
    <row r="73" spans="1:16">
      <c r="H73" s="109" t="s">
        <v>198</v>
      </c>
      <c r="I73" s="109"/>
      <c r="J73" s="109"/>
      <c r="K73" s="109"/>
      <c r="M73" s="10"/>
      <c r="N73" s="10"/>
      <c r="O73" s="10"/>
      <c r="P73" s="10"/>
    </row>
    <row r="74" spans="1:16">
      <c r="H74" s="10"/>
      <c r="I74" s="10" t="s">
        <v>193</v>
      </c>
      <c r="J74" s="10" t="s">
        <v>194</v>
      </c>
      <c r="K74" s="10" t="s">
        <v>195</v>
      </c>
      <c r="M74" s="9"/>
      <c r="N74" s="9"/>
      <c r="O74" s="9"/>
      <c r="P74" s="9"/>
    </row>
    <row r="75" spans="1:16">
      <c r="H75" s="9" t="s">
        <v>198</v>
      </c>
      <c r="I75" s="9">
        <v>2.2809865548276651</v>
      </c>
      <c r="J75" s="9">
        <v>0.6640682649739662</v>
      </c>
      <c r="K75" s="9">
        <v>5.4945180198368991E-2</v>
      </c>
      <c r="M75" s="9"/>
      <c r="N75" s="9"/>
      <c r="O75" s="9"/>
      <c r="P75" s="9"/>
    </row>
    <row r="76" spans="1:16">
      <c r="H76" s="9" t="s">
        <v>286</v>
      </c>
      <c r="I76" s="9">
        <f>I75/SUM(I75:K75)</f>
        <v>0.76032885160922159</v>
      </c>
      <c r="J76" s="9">
        <f>J75/SUM(I75:K75)</f>
        <v>0.22135608832465536</v>
      </c>
      <c r="K76" s="9">
        <f>K75/SUM(I75:K75)</f>
        <v>1.8315060066122994E-2</v>
      </c>
      <c r="M76" s="9"/>
      <c r="N76" s="9"/>
      <c r="O76" s="9"/>
      <c r="P76" s="9"/>
    </row>
    <row r="77" spans="1:16">
      <c r="H77" s="9" t="s">
        <v>301</v>
      </c>
      <c r="I77" s="9">
        <f>I76</f>
        <v>0.76032885160922159</v>
      </c>
      <c r="J77" s="9">
        <f>I77+J76</f>
        <v>0.98168493993387695</v>
      </c>
      <c r="K77" s="9">
        <f>J77+K76</f>
        <v>1</v>
      </c>
      <c r="M77" s="9"/>
      <c r="N77" s="9"/>
      <c r="O77" s="9"/>
      <c r="P77" s="9"/>
    </row>
    <row r="78" spans="1:16">
      <c r="H78" s="9"/>
      <c r="I78" s="9"/>
      <c r="J78" s="9"/>
      <c r="K78" s="9"/>
      <c r="M78" s="9"/>
      <c r="N78" s="9"/>
      <c r="O78" s="9"/>
      <c r="P78" s="9"/>
    </row>
    <row r="79" spans="1:16">
      <c r="H79" s="109" t="s">
        <v>302</v>
      </c>
      <c r="I79" s="109"/>
      <c r="J79" s="109"/>
      <c r="K79" s="109"/>
      <c r="M79" s="9"/>
      <c r="N79" s="9"/>
      <c r="O79" s="9"/>
      <c r="P79" s="9"/>
    </row>
    <row r="80" spans="1:16">
      <c r="H80" s="9"/>
      <c r="I80" s="9" t="s">
        <v>193</v>
      </c>
      <c r="J80" s="9" t="s">
        <v>194</v>
      </c>
      <c r="K80" s="9" t="s">
        <v>195</v>
      </c>
      <c r="M80" s="9"/>
      <c r="N80" s="9"/>
      <c r="O80" s="9"/>
      <c r="P80" s="9"/>
    </row>
    <row r="81" spans="8:16">
      <c r="H81" s="26" t="s">
        <v>303</v>
      </c>
      <c r="I81" s="9">
        <v>-0.61254722012439466</v>
      </c>
      <c r="J81" s="9">
        <v>-0.42459393548240409</v>
      </c>
      <c r="K81" s="9">
        <v>0.66671275154255183</v>
      </c>
      <c r="M81" s="9"/>
      <c r="N81" s="9"/>
      <c r="O81" s="9"/>
      <c r="P81" s="9"/>
    </row>
    <row r="82" spans="8:16">
      <c r="H82" s="26" t="s">
        <v>263</v>
      </c>
      <c r="I82" s="9">
        <v>0.64061859198812876</v>
      </c>
      <c r="J82" s="9">
        <v>0.22742392684738072</v>
      </c>
      <c r="K82" s="9">
        <v>0.73340723823566434</v>
      </c>
      <c r="M82" s="9"/>
      <c r="N82" s="9"/>
      <c r="O82" s="9"/>
      <c r="P82" s="9"/>
    </row>
    <row r="83" spans="8:16">
      <c r="H83" s="26" t="s">
        <v>224</v>
      </c>
      <c r="I83" s="9">
        <v>-0.46302669762879123</v>
      </c>
      <c r="J83" s="9">
        <v>0.87635514915408652</v>
      </c>
      <c r="K83" s="9">
        <v>0.13269487493529933</v>
      </c>
      <c r="M83" s="9"/>
      <c r="N83" s="9"/>
      <c r="O83" s="9"/>
      <c r="P83" s="9"/>
    </row>
    <row r="85" spans="8:16">
      <c r="H85" s="109" t="s">
        <v>304</v>
      </c>
      <c r="I85" s="109"/>
      <c r="J85" s="109"/>
      <c r="K85" s="109"/>
    </row>
    <row r="86" spans="8:16">
      <c r="H86" s="26" t="s">
        <v>510</v>
      </c>
      <c r="I86" s="26" t="s">
        <v>193</v>
      </c>
      <c r="J86" s="26" t="s">
        <v>194</v>
      </c>
      <c r="K86" s="26" t="s">
        <v>195</v>
      </c>
    </row>
    <row r="87" spans="8:16">
      <c r="H87" s="29">
        <f>H52</f>
        <v>1.1364672898047219</v>
      </c>
      <c r="I87" s="29">
        <f t="array" ref="I87:K98">MMULT(I52:K63,I81:K83)</f>
        <v>-1.2404907427784224</v>
      </c>
      <c r="J87" s="29">
        <v>0.48476944404260558</v>
      </c>
      <c r="K87" s="29">
        <v>0.13199158849385847</v>
      </c>
    </row>
    <row r="88" spans="8:16">
      <c r="H88" s="29">
        <f t="shared" ref="H88:H98" si="12">H53</f>
        <v>-1.8028585690879979</v>
      </c>
      <c r="I88" s="29">
        <v>2.3919501550841171</v>
      </c>
      <c r="J88" s="29">
        <v>0.53211419666810966</v>
      </c>
      <c r="K88" s="29">
        <v>-0.42358277549411438</v>
      </c>
    </row>
    <row r="89" spans="8:16">
      <c r="H89" s="29">
        <f t="shared" si="12"/>
        <v>-0.52770985089189149</v>
      </c>
      <c r="I89" s="29">
        <v>1.2724018709392713</v>
      </c>
      <c r="J89" s="29">
        <v>-3.0852524474299647E-3</v>
      </c>
      <c r="K89" s="29">
        <v>0.34428724114921427</v>
      </c>
    </row>
    <row r="90" spans="8:16">
      <c r="H90" s="29">
        <f t="shared" si="12"/>
        <v>0.62496695651701817</v>
      </c>
      <c r="I90" s="29">
        <v>-1.9001701153918222</v>
      </c>
      <c r="J90" s="29">
        <v>-1.3655811608975124</v>
      </c>
      <c r="K90" s="29">
        <v>0.17190219557952408</v>
      </c>
    </row>
    <row r="91" spans="8:16">
      <c r="H91" s="29">
        <f t="shared" si="12"/>
        <v>-0.84469597292934162</v>
      </c>
      <c r="I91" s="29">
        <v>0.52445873328947079</v>
      </c>
      <c r="J91" s="29">
        <v>-0.73072851714062403</v>
      </c>
      <c r="K91" s="29">
        <v>-0.11960842226492116</v>
      </c>
    </row>
    <row r="92" spans="8:16">
      <c r="H92" s="29">
        <f t="shared" si="12"/>
        <v>1.0644249893416651</v>
      </c>
      <c r="I92" s="29">
        <v>-1.2861814021511186</v>
      </c>
      <c r="J92" s="29">
        <v>0.92178404061846941</v>
      </c>
      <c r="K92" s="29">
        <v>0.12590991586803491</v>
      </c>
    </row>
    <row r="93" spans="8:16">
      <c r="H93" s="29">
        <f t="shared" si="12"/>
        <v>0.99958691892491391</v>
      </c>
      <c r="I93" s="29">
        <v>-0.99482419252362142</v>
      </c>
      <c r="J93" s="29">
        <v>-7.2778185573231069E-2</v>
      </c>
      <c r="K93" s="29">
        <v>-0.26779540716396544</v>
      </c>
    </row>
    <row r="94" spans="8:16">
      <c r="H94" s="29">
        <f t="shared" si="12"/>
        <v>-4.5026437789410532E-2</v>
      </c>
      <c r="I94" s="29">
        <v>0.39986690820466186</v>
      </c>
      <c r="J94" s="29">
        <v>-0.63315533364088739</v>
      </c>
      <c r="K94" s="29">
        <v>-5.8940935929840919E-2</v>
      </c>
    </row>
    <row r="95" spans="8:16">
      <c r="H95" s="29">
        <f t="shared" si="12"/>
        <v>0.61055849642440685</v>
      </c>
      <c r="I95" s="29">
        <v>-2.0152814187116541</v>
      </c>
      <c r="J95" s="29">
        <v>0.24623098631132545</v>
      </c>
      <c r="K95" s="29">
        <v>-0.23631289407315165</v>
      </c>
    </row>
    <row r="96" spans="8:16">
      <c r="H96" s="29">
        <f t="shared" si="12"/>
        <v>-1.0536186442722064</v>
      </c>
      <c r="I96" s="29">
        <v>1.0844233590124053</v>
      </c>
      <c r="J96" s="29">
        <v>-1.0230236087043978</v>
      </c>
      <c r="K96" s="29">
        <v>-3.4664262705731225E-2</v>
      </c>
    </row>
    <row r="97" spans="8:19">
      <c r="H97" s="29">
        <f t="shared" si="12"/>
        <v>-0.93114673348500987</v>
      </c>
      <c r="I97" s="29">
        <v>2.0500751554185079</v>
      </c>
      <c r="J97" s="29">
        <v>0.24109182463581436</v>
      </c>
      <c r="K97" s="29">
        <v>0.30547101953525213</v>
      </c>
    </row>
    <row r="98" spans="8:19">
      <c r="H98" s="29">
        <f t="shared" si="12"/>
        <v>0.76905155744313192</v>
      </c>
      <c r="I98" s="29">
        <v>-0.28622831039178731</v>
      </c>
      <c r="J98" s="29">
        <v>1.40236156612777</v>
      </c>
      <c r="K98" s="29">
        <v>6.1342737005832093E-2</v>
      </c>
    </row>
    <row r="100" spans="8:19">
      <c r="H100" s="109" t="s">
        <v>290</v>
      </c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</row>
    <row r="101" spans="8:19">
      <c r="H101" s="29">
        <f t="array" ref="H101:S103">TRANSPOSE(I87:K98)</f>
        <v>-1.2404907427784224</v>
      </c>
      <c r="I101" s="29">
        <v>2.3919501550841171</v>
      </c>
      <c r="J101" s="29">
        <v>1.2724018709392713</v>
      </c>
      <c r="K101" s="29">
        <v>-1.9001701153918222</v>
      </c>
      <c r="L101" s="29">
        <v>0.52445873328947079</v>
      </c>
      <c r="M101" s="29">
        <v>-1.2861814021511186</v>
      </c>
      <c r="N101" s="29">
        <v>-0.99482419252362142</v>
      </c>
      <c r="O101" s="29">
        <v>0.39986690820466186</v>
      </c>
      <c r="P101" s="29">
        <v>-2.0152814187116541</v>
      </c>
      <c r="Q101" s="29">
        <v>1.0844233590124053</v>
      </c>
      <c r="R101" s="29">
        <v>2.0500751554185079</v>
      </c>
      <c r="S101" s="29">
        <v>-0.28622831039178731</v>
      </c>
    </row>
    <row r="102" spans="8:19">
      <c r="H102" s="29">
        <v>0.48476944404260558</v>
      </c>
      <c r="I102" s="29">
        <v>0.53211419666810966</v>
      </c>
      <c r="J102" s="29">
        <v>-3.0852524474299647E-3</v>
      </c>
      <c r="K102" s="29">
        <v>-1.3655811608975124</v>
      </c>
      <c r="L102" s="29">
        <v>-0.73072851714062403</v>
      </c>
      <c r="M102" s="29">
        <v>0.92178404061846941</v>
      </c>
      <c r="N102" s="29">
        <v>-7.2778185573231069E-2</v>
      </c>
      <c r="O102" s="29">
        <v>-0.63315533364088739</v>
      </c>
      <c r="P102" s="29">
        <v>0.24623098631132545</v>
      </c>
      <c r="Q102" s="29">
        <v>-1.0230236087043978</v>
      </c>
      <c r="R102" s="29">
        <v>0.24109182463581436</v>
      </c>
      <c r="S102" s="29">
        <v>1.40236156612777</v>
      </c>
    </row>
    <row r="103" spans="8:19">
      <c r="H103" s="29">
        <v>0.13199158849385847</v>
      </c>
      <c r="I103" s="29">
        <v>-0.42358277549411438</v>
      </c>
      <c r="J103" s="29">
        <v>0.34428724114921427</v>
      </c>
      <c r="K103" s="29">
        <v>0.17190219557952408</v>
      </c>
      <c r="L103" s="29">
        <v>-0.11960842226492116</v>
      </c>
      <c r="M103" s="29">
        <v>0.12590991586803491</v>
      </c>
      <c r="N103" s="29">
        <v>-0.26779540716396544</v>
      </c>
      <c r="O103" s="29">
        <v>-5.8940935929840919E-2</v>
      </c>
      <c r="P103" s="29">
        <v>-0.23631289407315165</v>
      </c>
      <c r="Q103" s="29">
        <v>-3.4664262705731225E-2</v>
      </c>
      <c r="R103" s="29">
        <v>0.30547101953525213</v>
      </c>
      <c r="S103" s="29">
        <v>6.1342737005832093E-2</v>
      </c>
    </row>
    <row r="105" spans="8:19">
      <c r="H105" s="109" t="s">
        <v>291</v>
      </c>
      <c r="I105" s="109"/>
      <c r="L105" s="109" t="s">
        <v>292</v>
      </c>
      <c r="M105" s="109"/>
      <c r="P105" s="28" t="s">
        <v>293</v>
      </c>
      <c r="S105" s="36" t="s">
        <v>294</v>
      </c>
    </row>
    <row r="106" spans="8:19">
      <c r="H106" s="29">
        <f t="array" ref="H106:J108">MMULT(H101:S103,I87:K98)</f>
        <v>25.090852103104428</v>
      </c>
      <c r="I106" s="29">
        <v>-9.7736224669020544E-10</v>
      </c>
      <c r="J106" s="29">
        <v>-9.3567514847237021E-14</v>
      </c>
      <c r="L106" s="29">
        <f t="array" ref="L106:N108">MINVERSE(H106:J108)</f>
        <v>3.9855162984929977E-2</v>
      </c>
      <c r="M106" s="29">
        <v>5.3325475559603651E-12</v>
      </c>
      <c r="N106" s="29">
        <v>6.1700317247896411E-15</v>
      </c>
      <c r="P106" s="29">
        <f t="array" ref="P106:P108">MMULT(H101:S103,H87:H98)</f>
        <v>-14.907658133541553</v>
      </c>
      <c r="R106" s="26" t="s">
        <v>295</v>
      </c>
      <c r="S106" s="29">
        <f t="array" ref="S106:S108">MMULT(L106:N108,P106:P108)</f>
        <v>-0.59414714462324159</v>
      </c>
    </row>
    <row r="107" spans="8:19">
      <c r="H107" s="29">
        <v>-9.7736224669020544E-10</v>
      </c>
      <c r="I107" s="29">
        <v>7.3047509147136438</v>
      </c>
      <c r="J107" s="29">
        <v>-1.8554602299047929E-14</v>
      </c>
      <c r="L107" s="29">
        <v>5.3325475559603635E-12</v>
      </c>
      <c r="M107" s="29">
        <v>0.13689720726626603</v>
      </c>
      <c r="N107" s="29">
        <v>4.2026570483598439E-15</v>
      </c>
      <c r="P107" s="29">
        <v>2.376168653450037</v>
      </c>
      <c r="R107" s="26" t="s">
        <v>296</v>
      </c>
      <c r="S107" s="29">
        <v>0.32529085257146012</v>
      </c>
    </row>
    <row r="108" spans="8:19">
      <c r="H108" s="29">
        <v>-9.3567514847237021E-14</v>
      </c>
      <c r="I108" s="29">
        <v>-1.8554602299047929E-14</v>
      </c>
      <c r="J108" s="29">
        <v>0.60439698218206006</v>
      </c>
      <c r="L108" s="29">
        <v>6.1700317247896418E-15</v>
      </c>
      <c r="M108" s="29">
        <v>4.2026570483598439E-15</v>
      </c>
      <c r="N108" s="29">
        <v>1.6545416828351636</v>
      </c>
      <c r="P108" s="29">
        <v>0.46441436417972892</v>
      </c>
      <c r="R108" s="26" t="s">
        <v>305</v>
      </c>
      <c r="S108" s="29">
        <v>0.7683929236426692</v>
      </c>
    </row>
  </sheetData>
  <mergeCells count="18">
    <mergeCell ref="H105:I105"/>
    <mergeCell ref="L105:M105"/>
    <mergeCell ref="H21:K21"/>
    <mergeCell ref="H36:S36"/>
    <mergeCell ref="H41:I41"/>
    <mergeCell ref="K41:L41"/>
    <mergeCell ref="H67:K67"/>
    <mergeCell ref="H73:K73"/>
    <mergeCell ref="H79:K79"/>
    <mergeCell ref="H85:K85"/>
    <mergeCell ref="H100:S100"/>
    <mergeCell ref="C50:E50"/>
    <mergeCell ref="H50:K50"/>
    <mergeCell ref="P2:S2"/>
    <mergeCell ref="C3:E3"/>
    <mergeCell ref="H3:K3"/>
    <mergeCell ref="P8:S8"/>
    <mergeCell ref="P14:S14"/>
  </mergeCells>
  <phoneticPr fontId="1" type="noConversion"/>
  <pageMargins left="0.7" right="0.7" top="0.75" bottom="0.75" header="0.3" footer="0.3"/>
  <pageSetup paperSize="9" orientation="portrait" r:id="rId1"/>
  <ignoredErrors>
    <ignoredError sqref="A5:A16" formulaRange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34"/>
  <sheetViews>
    <sheetView zoomScale="55" zoomScaleNormal="55" workbookViewId="0">
      <selection activeCell="Y40" sqref="Y40"/>
    </sheetView>
  </sheetViews>
  <sheetFormatPr defaultRowHeight="17.399999999999999"/>
  <cols>
    <col min="1" max="1" width="9.19921875" style="37" bestFit="1" customWidth="1"/>
    <col min="2" max="2" width="20" style="37" bestFit="1" customWidth="1"/>
    <col min="3" max="3" width="9.8984375" style="37" bestFit="1" customWidth="1"/>
    <col min="4" max="4" width="18.09765625" style="37" bestFit="1" customWidth="1"/>
    <col min="5" max="5" width="7" style="37" bestFit="1" customWidth="1"/>
    <col min="6" max="6" width="6.796875" style="37" bestFit="1" customWidth="1"/>
    <col min="7" max="7" width="9.19921875" style="37" bestFit="1" customWidth="1"/>
    <col min="8" max="8" width="20" style="37" bestFit="1" customWidth="1"/>
    <col min="9" max="9" width="9.8984375" style="37" bestFit="1" customWidth="1"/>
    <col min="10" max="10" width="18.09765625" style="37" bestFit="1" customWidth="1"/>
    <col min="11" max="11" width="9.8984375" style="37" bestFit="1" customWidth="1"/>
    <col min="12" max="13" width="6.796875" style="37" bestFit="1" customWidth="1"/>
    <col min="14" max="14" width="4.09765625" style="37" customWidth="1"/>
    <col min="15" max="15" width="8.296875" style="37" bestFit="1" customWidth="1"/>
    <col min="16" max="16" width="20" style="37" bestFit="1" customWidth="1"/>
    <col min="17" max="17" width="7.796875" style="37" bestFit="1" customWidth="1"/>
    <col min="18" max="19" width="6.796875" style="37" bestFit="1" customWidth="1"/>
    <col min="20" max="20" width="7.8984375" style="37" bestFit="1" customWidth="1"/>
    <col min="21" max="22" width="6.796875" style="37" bestFit="1" customWidth="1"/>
    <col min="23" max="23" width="7" style="37" bestFit="1" customWidth="1"/>
    <col min="24" max="28" width="6.796875" style="37" bestFit="1" customWidth="1"/>
    <col min="29" max="34" width="8.796875" style="37"/>
    <col min="35" max="35" width="5.796875" style="37" bestFit="1" customWidth="1"/>
    <col min="36" max="16384" width="8.796875" style="37"/>
  </cols>
  <sheetData>
    <row r="1" spans="1:28" ht="17.399999999999999" customHeight="1">
      <c r="J1" s="113" t="s">
        <v>306</v>
      </c>
      <c r="K1" s="113"/>
      <c r="O1" s="110" t="s">
        <v>505</v>
      </c>
      <c r="P1" s="38" t="s">
        <v>510</v>
      </c>
      <c r="Q1" s="39">
        <f t="array" ref="Q1:AB4">TRANSPOSE(H7:K18)</f>
        <v>1.1364672898047219</v>
      </c>
      <c r="R1" s="39">
        <v>-1.8028585690879979</v>
      </c>
      <c r="S1" s="39">
        <v>-0.52770985089189149</v>
      </c>
      <c r="T1" s="39">
        <v>0.62496695651701817</v>
      </c>
      <c r="U1" s="39">
        <v>-0.84469597292934162</v>
      </c>
      <c r="V1" s="39">
        <v>1.0644249893416651</v>
      </c>
      <c r="W1" s="39">
        <v>0.99958691892491391</v>
      </c>
      <c r="X1" s="39">
        <v>-4.5026437789410532E-2</v>
      </c>
      <c r="Y1" s="39">
        <v>0.61055849642440685</v>
      </c>
      <c r="Z1" s="39">
        <v>-1.0536186442722064</v>
      </c>
      <c r="AA1" s="39">
        <v>-0.93114673348500987</v>
      </c>
      <c r="AB1" s="39">
        <v>0.76905155744313192</v>
      </c>
    </row>
    <row r="2" spans="1:28">
      <c r="J2" s="40" t="s">
        <v>552</v>
      </c>
      <c r="K2" s="41">
        <f t="array" ref="K2:K4">MMULT(H25:I27,K48:K49)</f>
        <v>0.27568424513182321</v>
      </c>
      <c r="O2" s="110"/>
      <c r="P2" s="42" t="s">
        <v>307</v>
      </c>
      <c r="Q2" s="39">
        <v>0.6420294651765136</v>
      </c>
      <c r="R2" s="39">
        <v>-1.9735229168179729</v>
      </c>
      <c r="S2" s="39">
        <v>-0.54855555557873148</v>
      </c>
      <c r="T2" s="39">
        <v>1.858370787083846</v>
      </c>
      <c r="U2" s="39">
        <v>-9.0737302600376601E-2</v>
      </c>
      <c r="V2" s="39">
        <v>0.48040867544716415</v>
      </c>
      <c r="W2" s="39">
        <v>0.46173535711190122</v>
      </c>
      <c r="X2" s="39">
        <v>-1.5400121730520537E-2</v>
      </c>
      <c r="Y2" s="39">
        <v>0.97235402745203547</v>
      </c>
      <c r="Z2" s="39">
        <v>-0.25300199985852762</v>
      </c>
      <c r="AA2" s="39">
        <v>-1.1544725401815903</v>
      </c>
      <c r="AB2" s="39">
        <v>-0.37920787550375645</v>
      </c>
    </row>
    <row r="3" spans="1:28">
      <c r="B3" s="40" t="s">
        <v>308</v>
      </c>
      <c r="C3" s="40" t="s">
        <v>254</v>
      </c>
      <c r="D3" s="40" t="s">
        <v>255</v>
      </c>
      <c r="E3" s="40" t="s">
        <v>256</v>
      </c>
      <c r="J3" s="40" t="s">
        <v>553</v>
      </c>
      <c r="K3" s="41">
        <v>-0.24097184277225275</v>
      </c>
      <c r="O3" s="110"/>
      <c r="P3" s="42" t="s">
        <v>263</v>
      </c>
      <c r="Q3" s="39">
        <v>-0.58762967604561078</v>
      </c>
      <c r="R3" s="39">
        <v>1.3426845670539378</v>
      </c>
      <c r="S3" s="39">
        <v>1.0669253894682882</v>
      </c>
      <c r="T3" s="39">
        <v>-1.4017758193937202</v>
      </c>
      <c r="U3" s="39">
        <v>8.207118380525294E-2</v>
      </c>
      <c r="V3" s="39">
        <v>-0.52197272900140845</v>
      </c>
      <c r="W3" s="39">
        <v>-0.85025746422242021</v>
      </c>
      <c r="X3" s="39">
        <v>6.8939794396412749E-2</v>
      </c>
      <c r="Y3" s="39">
        <v>-1.4083415140981403</v>
      </c>
      <c r="Z3" s="39">
        <v>0.43661869784394558</v>
      </c>
      <c r="AA3" s="39">
        <v>1.5921809658219075</v>
      </c>
      <c r="AB3" s="39">
        <v>0.18055660437155646</v>
      </c>
    </row>
    <row r="4" spans="1:28">
      <c r="B4" s="27">
        <f>B19-SUMPRODUCT(C4:E4,C19:E19)</f>
        <v>-914.95255246894044</v>
      </c>
      <c r="C4" s="27">
        <f>K2*$B$20/C20</f>
        <v>2.4640407076334028</v>
      </c>
      <c r="D4" s="27">
        <f>K3*$B$20/D20</f>
        <v>-2.1961369110020126</v>
      </c>
      <c r="E4" s="27">
        <f>K4*$B$20/E20</f>
        <v>40.915254619094227</v>
      </c>
      <c r="J4" s="40" t="s">
        <v>554</v>
      </c>
      <c r="K4" s="41">
        <v>0.58466000922873484</v>
      </c>
      <c r="O4" s="110"/>
      <c r="P4" s="42" t="s">
        <v>224</v>
      </c>
      <c r="Q4" s="39">
        <v>1.0167251378347844</v>
      </c>
      <c r="R4" s="39">
        <v>-0.69742302843212367</v>
      </c>
      <c r="S4" s="39">
        <v>-0.54617466082033739</v>
      </c>
      <c r="T4" s="39">
        <v>-0.29409404813402756</v>
      </c>
      <c r="U4" s="39">
        <v>-0.89908751858117086</v>
      </c>
      <c r="V4" s="39">
        <v>1.4200541181328787</v>
      </c>
      <c r="W4" s="39">
        <v>0.36131554485037842</v>
      </c>
      <c r="X4" s="39">
        <v>-0.74783915096938458</v>
      </c>
      <c r="Y4" s="39">
        <v>1.1175573829093062</v>
      </c>
      <c r="Z4" s="39">
        <v>-1.4032487439537906</v>
      </c>
      <c r="AA4" s="39">
        <v>-0.69742302843212367</v>
      </c>
      <c r="AB4" s="39">
        <v>1.3696379955956159</v>
      </c>
    </row>
    <row r="5" spans="1:28">
      <c r="A5" s="43" t="s">
        <v>309</v>
      </c>
      <c r="B5" s="43" t="s">
        <v>310</v>
      </c>
      <c r="C5" s="113"/>
      <c r="D5" s="113"/>
      <c r="E5" s="113"/>
      <c r="G5" s="43" t="s">
        <v>309</v>
      </c>
      <c r="H5" s="113" t="s">
        <v>311</v>
      </c>
      <c r="I5" s="113"/>
      <c r="J5" s="113"/>
      <c r="K5" s="113"/>
      <c r="O5" s="110"/>
    </row>
    <row r="6" spans="1:28">
      <c r="A6" s="43"/>
      <c r="B6" s="40" t="s">
        <v>510</v>
      </c>
      <c r="C6" s="40" t="s">
        <v>312</v>
      </c>
      <c r="D6" s="40" t="s">
        <v>263</v>
      </c>
      <c r="E6" s="40" t="s">
        <v>224</v>
      </c>
      <c r="G6" s="43"/>
      <c r="H6" s="40" t="s">
        <v>510</v>
      </c>
      <c r="I6" s="40" t="s">
        <v>312</v>
      </c>
      <c r="J6" s="40" t="s">
        <v>263</v>
      </c>
      <c r="K6" s="40" t="s">
        <v>224</v>
      </c>
      <c r="O6" s="110"/>
      <c r="Q6" s="44" t="s">
        <v>313</v>
      </c>
      <c r="R6" s="44" t="s">
        <v>314</v>
      </c>
      <c r="S6" s="44" t="s">
        <v>315</v>
      </c>
      <c r="T6" s="44" t="s">
        <v>316</v>
      </c>
      <c r="V6" s="44" t="s">
        <v>317</v>
      </c>
      <c r="W6" s="44" t="s">
        <v>318</v>
      </c>
      <c r="X6" s="44" t="s">
        <v>319</v>
      </c>
    </row>
    <row r="7" spans="1:28">
      <c r="A7" s="29">
        <f>$B$4+SUMPRODUCT($C$4:$E$4,C7:E7)</f>
        <v>525.98639472433615</v>
      </c>
      <c r="B7" s="37">
        <v>557</v>
      </c>
      <c r="C7" s="37">
        <v>75.73</v>
      </c>
      <c r="D7" s="37">
        <v>36.200000000000003</v>
      </c>
      <c r="E7" s="37">
        <v>32.6</v>
      </c>
      <c r="G7" s="41">
        <f t="array" ref="G7:G18">MMULT(I7:K18,K2:K4)</f>
        <v>0.91303814283351981</v>
      </c>
      <c r="H7" s="39">
        <f>(B7-B$19)/B$20</f>
        <v>1.1364672898047219</v>
      </c>
      <c r="I7" s="39">
        <f>(C7-C$19)/C$20</f>
        <v>0.6420294651765136</v>
      </c>
      <c r="J7" s="39">
        <f>(D7-D$19)/D$20</f>
        <v>-0.58762967604561078</v>
      </c>
      <c r="K7" s="39">
        <f>(E7-E$19)/E$20</f>
        <v>1.0167251378347844</v>
      </c>
      <c r="O7" s="110"/>
      <c r="Q7" s="45">
        <f t="array" ref="Q7:Q9">MMULT(Q2:AB4,H7:H18)</f>
        <v>8.4323687269255689</v>
      </c>
      <c r="R7" s="46">
        <f>Q7/Q12</f>
        <v>0.55832467692148779</v>
      </c>
      <c r="S7" s="45">
        <f t="array" ref="S7:S18">MMULT(I7:K18,R7:R9)</f>
        <v>1.3047755666686025</v>
      </c>
      <c r="T7" s="45">
        <f t="array" ref="T7:T9">MMULT(Q2:AB4,S7:S18)</f>
        <v>14.69498135425636</v>
      </c>
      <c r="V7" s="45">
        <f>T7/T12</f>
        <v>0.59669142816297338</v>
      </c>
      <c r="W7" s="45">
        <f t="array" ref="W7">MMULT(Q1:AB1,S7:S18)</f>
        <v>15.102984115658813</v>
      </c>
      <c r="X7" s="45">
        <f>W7/T12</f>
        <v>0.61325842777506556</v>
      </c>
    </row>
    <row r="8" spans="1:28">
      <c r="A8" s="29">
        <f t="shared" ref="A8:A18" si="0">$B$4+SUMPRODUCT($C$4:$E$4,C8:E8)</f>
        <v>222.21877029188772</v>
      </c>
      <c r="B8" s="37">
        <v>149</v>
      </c>
      <c r="C8" s="37">
        <v>35.11</v>
      </c>
      <c r="D8" s="37">
        <v>65.599999999999994</v>
      </c>
      <c r="E8" s="37">
        <v>29.2</v>
      </c>
      <c r="G8" s="41">
        <v>-1.2753737041976261</v>
      </c>
      <c r="H8" s="39">
        <f t="shared" ref="H8:K18" si="1">(B8-B$19)/B$20</f>
        <v>-1.8028585690879979</v>
      </c>
      <c r="I8" s="39">
        <f t="shared" si="1"/>
        <v>-1.9735229168179729</v>
      </c>
      <c r="J8" s="39">
        <f t="shared" si="1"/>
        <v>1.3426845670539378</v>
      </c>
      <c r="K8" s="39">
        <f t="shared" si="1"/>
        <v>-0.69742302843212367</v>
      </c>
      <c r="O8" s="110"/>
      <c r="Q8" s="45">
        <v>-8.6691205011004744</v>
      </c>
      <c r="R8" s="46">
        <f>Q8/Q12</f>
        <v>-0.57400050445079309</v>
      </c>
      <c r="S8" s="45">
        <v>-2.290322215182762</v>
      </c>
      <c r="T8" s="45">
        <v>-15.590785938774172</v>
      </c>
      <c r="V8" s="45">
        <f>T8/T12</f>
        <v>-0.6330656775754131</v>
      </c>
      <c r="W8" s="47"/>
      <c r="X8" s="47"/>
    </row>
    <row r="9" spans="1:28">
      <c r="A9" s="29">
        <f t="shared" si="0"/>
        <v>298.2463425637518</v>
      </c>
      <c r="B9" s="37">
        <v>326</v>
      </c>
      <c r="C9" s="37">
        <v>57.24</v>
      </c>
      <c r="D9" s="37">
        <v>61.4</v>
      </c>
      <c r="E9" s="37">
        <v>29.5</v>
      </c>
      <c r="G9" s="41">
        <v>-0.72765358368898692</v>
      </c>
      <c r="H9" s="39">
        <f t="shared" si="1"/>
        <v>-0.52770985089189149</v>
      </c>
      <c r="I9" s="39">
        <f t="shared" si="1"/>
        <v>-0.54855555557873148</v>
      </c>
      <c r="J9" s="39">
        <f t="shared" si="1"/>
        <v>1.0669253894682882</v>
      </c>
      <c r="K9" s="39">
        <f t="shared" si="1"/>
        <v>-0.54617466082033739</v>
      </c>
      <c r="O9" s="110"/>
      <c r="Q9" s="45">
        <v>9.0466367556351877</v>
      </c>
      <c r="R9" s="46">
        <f>Q9/Q12</f>
        <v>0.59899664108469863</v>
      </c>
      <c r="S9" s="45">
        <v>-1.2458446023850955</v>
      </c>
      <c r="T9" s="45">
        <v>12.477112750491443</v>
      </c>
      <c r="V9" s="45">
        <f>T9/T12</f>
        <v>0.50663461538076504</v>
      </c>
      <c r="W9" s="47"/>
      <c r="X9" s="47"/>
    </row>
    <row r="10" spans="1:28">
      <c r="A10" s="29">
        <f t="shared" si="0"/>
        <v>493.38455937831122</v>
      </c>
      <c r="B10" s="37">
        <v>486</v>
      </c>
      <c r="C10" s="37">
        <v>94.62</v>
      </c>
      <c r="D10" s="37">
        <v>23.8</v>
      </c>
      <c r="E10" s="37">
        <v>30</v>
      </c>
      <c r="G10" s="41">
        <v>0.67816702106897497</v>
      </c>
      <c r="H10" s="39">
        <f t="shared" si="1"/>
        <v>0.62496695651701817</v>
      </c>
      <c r="I10" s="39">
        <f t="shared" si="1"/>
        <v>1.858370787083846</v>
      </c>
      <c r="J10" s="39">
        <f t="shared" si="1"/>
        <v>-1.4017758193937202</v>
      </c>
      <c r="K10" s="39">
        <f t="shared" si="1"/>
        <v>-0.29409404813402756</v>
      </c>
      <c r="O10" s="110"/>
      <c r="R10" s="47"/>
      <c r="S10" s="45">
        <v>1.6660329497625543</v>
      </c>
      <c r="T10" s="47"/>
      <c r="U10" s="47"/>
      <c r="V10" s="47"/>
      <c r="W10" s="47"/>
      <c r="X10" s="47"/>
    </row>
    <row r="11" spans="1:28">
      <c r="A11" s="29">
        <f t="shared" si="0"/>
        <v>320.06704742668944</v>
      </c>
      <c r="B11" s="37">
        <v>282</v>
      </c>
      <c r="C11" s="37">
        <v>64.349999999999994</v>
      </c>
      <c r="D11" s="37">
        <v>46.4</v>
      </c>
      <c r="E11" s="37">
        <v>28.8</v>
      </c>
      <c r="G11" s="41">
        <v>-0.57045220608384239</v>
      </c>
      <c r="H11" s="39">
        <f t="shared" si="1"/>
        <v>-0.84469597292934162</v>
      </c>
      <c r="I11" s="39">
        <f t="shared" si="1"/>
        <v>-9.0737302600376601E-2</v>
      </c>
      <c r="J11" s="39">
        <f t="shared" si="1"/>
        <v>8.207118380525294E-2</v>
      </c>
      <c r="K11" s="39">
        <f t="shared" si="1"/>
        <v>-0.89908751858117086</v>
      </c>
      <c r="O11" s="110"/>
      <c r="Q11" s="44" t="s">
        <v>320</v>
      </c>
      <c r="R11" s="47"/>
      <c r="S11" s="45">
        <v>-0.63632017973546939</v>
      </c>
      <c r="T11" s="44" t="s">
        <v>321</v>
      </c>
      <c r="V11" s="44" t="s">
        <v>322</v>
      </c>
      <c r="W11" s="45">
        <f t="array" ref="W11:Y11">TRANSPOSE(V7:V9)</f>
        <v>0.59669142816297338</v>
      </c>
      <c r="X11" s="45">
        <v>-0.6330656775754131</v>
      </c>
      <c r="Y11" s="45">
        <v>0.50663461538076504</v>
      </c>
    </row>
    <row r="12" spans="1:28">
      <c r="A12" s="29">
        <f t="shared" si="0"/>
        <v>550.33771933244975</v>
      </c>
      <c r="B12" s="37">
        <v>547</v>
      </c>
      <c r="C12" s="37">
        <v>73.22</v>
      </c>
      <c r="D12" s="37">
        <v>37.200000000000003</v>
      </c>
      <c r="E12" s="37">
        <v>33.4</v>
      </c>
      <c r="G12" s="41">
        <v>1.0884706872426335</v>
      </c>
      <c r="H12" s="39">
        <f t="shared" si="1"/>
        <v>1.0644249893416651</v>
      </c>
      <c r="I12" s="39">
        <f t="shared" si="1"/>
        <v>0.48040867544716415</v>
      </c>
      <c r="J12" s="39">
        <f t="shared" si="1"/>
        <v>-0.52197272900140845</v>
      </c>
      <c r="K12" s="39">
        <f t="shared" si="1"/>
        <v>1.4200541181328787</v>
      </c>
      <c r="O12" s="110"/>
      <c r="Q12" s="48">
        <f>SQRT(SUMSQ(Q7:Q9))</f>
        <v>15.102984115658813</v>
      </c>
      <c r="R12" s="47"/>
      <c r="S12" s="45">
        <v>1.4184442751857715</v>
      </c>
      <c r="T12" s="45">
        <f>SUMSQ(S7:S18)</f>
        <v>24.627438338602616</v>
      </c>
      <c r="U12" s="47"/>
      <c r="V12" s="47"/>
      <c r="W12" s="47"/>
      <c r="X12" s="47"/>
    </row>
    <row r="13" spans="1:28">
      <c r="A13" s="29">
        <f t="shared" si="0"/>
        <v>474.68179738214826</v>
      </c>
      <c r="B13" s="37">
        <v>538</v>
      </c>
      <c r="C13" s="37">
        <v>72.930000000000007</v>
      </c>
      <c r="D13" s="37">
        <v>32.200000000000003</v>
      </c>
      <c r="E13" s="37">
        <v>31.3</v>
      </c>
      <c r="G13" s="41">
        <v>0.54342802114731426</v>
      </c>
      <c r="H13" s="39">
        <f t="shared" si="1"/>
        <v>0.99958691892491391</v>
      </c>
      <c r="I13" s="39">
        <f t="shared" si="1"/>
        <v>0.46173535711190122</v>
      </c>
      <c r="J13" s="39">
        <f t="shared" si="1"/>
        <v>-0.85025746422242021</v>
      </c>
      <c r="K13" s="39">
        <f t="shared" si="1"/>
        <v>0.36131554485037842</v>
      </c>
      <c r="O13" s="110"/>
      <c r="Q13" s="47"/>
      <c r="R13" s="47"/>
      <c r="S13" s="45">
        <v>0.96227325519651585</v>
      </c>
      <c r="T13" s="47"/>
      <c r="U13" s="47"/>
      <c r="V13" s="47"/>
      <c r="W13" s="47"/>
      <c r="X13" s="47"/>
    </row>
    <row r="14" spans="1:28">
      <c r="A14" s="29">
        <f t="shared" si="0"/>
        <v>335.66377882254938</v>
      </c>
      <c r="B14" s="37">
        <v>393</v>
      </c>
      <c r="C14" s="37">
        <v>65.52</v>
      </c>
      <c r="D14" s="37">
        <v>46.2</v>
      </c>
      <c r="E14" s="37">
        <v>29.1</v>
      </c>
      <c r="G14" s="41">
        <v>-0.45808976513763017</v>
      </c>
      <c r="H14" s="39">
        <f t="shared" si="1"/>
        <v>-4.5026437789410532E-2</v>
      </c>
      <c r="I14" s="39">
        <f t="shared" si="1"/>
        <v>-1.5400121730520537E-2</v>
      </c>
      <c r="J14" s="39">
        <f t="shared" si="1"/>
        <v>6.8939794396412749E-2</v>
      </c>
      <c r="K14" s="39">
        <f t="shared" si="1"/>
        <v>-0.74783915096938458</v>
      </c>
      <c r="O14" s="110"/>
      <c r="Q14" s="47"/>
      <c r="R14" s="47"/>
      <c r="S14" s="45">
        <v>-0.49612288425231355</v>
      </c>
      <c r="T14" s="47"/>
      <c r="U14" s="47"/>
      <c r="V14" s="47"/>
      <c r="W14" s="47"/>
      <c r="X14" s="47"/>
    </row>
    <row r="15" spans="1:28">
      <c r="A15" s="29">
        <f t="shared" si="0"/>
        <v>574.26168586583935</v>
      </c>
      <c r="B15" s="37">
        <v>484</v>
      </c>
      <c r="C15" s="37">
        <v>80.86</v>
      </c>
      <c r="D15" s="37">
        <v>23.7</v>
      </c>
      <c r="E15" s="37">
        <v>32.799999999999997</v>
      </c>
      <c r="G15" s="41">
        <v>1.2608244457692916</v>
      </c>
      <c r="H15" s="39">
        <f t="shared" si="1"/>
        <v>0.61055849642440685</v>
      </c>
      <c r="I15" s="39">
        <f t="shared" si="1"/>
        <v>0.97235402745203547</v>
      </c>
      <c r="J15" s="39">
        <f t="shared" si="1"/>
        <v>-1.4083415140981403</v>
      </c>
      <c r="K15" s="39">
        <f t="shared" si="1"/>
        <v>1.1175573829093062</v>
      </c>
      <c r="O15" s="110"/>
      <c r="Q15" s="47"/>
      <c r="R15" s="47"/>
      <c r="S15" s="45">
        <v>2.0206911063438722</v>
      </c>
      <c r="T15" s="47"/>
      <c r="U15" s="47"/>
      <c r="V15" s="47"/>
      <c r="W15" s="47"/>
      <c r="X15" s="47"/>
    </row>
    <row r="16" spans="1:28">
      <c r="A16" s="29">
        <f t="shared" si="0"/>
        <v>261.08327090494822</v>
      </c>
      <c r="B16" s="37">
        <v>253</v>
      </c>
      <c r="C16" s="37">
        <v>61.83</v>
      </c>
      <c r="D16" s="37">
        <v>51.8</v>
      </c>
      <c r="E16" s="37">
        <v>27.8</v>
      </c>
      <c r="G16" s="41">
        <v>-0.99538490114635059</v>
      </c>
      <c r="H16" s="39">
        <f t="shared" si="1"/>
        <v>-1.0536186442722064</v>
      </c>
      <c r="I16" s="39">
        <f t="shared" si="1"/>
        <v>-0.25300199985852762</v>
      </c>
      <c r="J16" s="39">
        <f t="shared" si="1"/>
        <v>0.43661869784394558</v>
      </c>
      <c r="K16" s="39">
        <f t="shared" si="1"/>
        <v>-1.4032487439537906</v>
      </c>
      <c r="O16" s="110"/>
      <c r="S16" s="39">
        <v>-1.2324178968812189</v>
      </c>
    </row>
    <row r="17" spans="1:25">
      <c r="A17" s="29">
        <f t="shared" si="0"/>
        <v>245.21604783117687</v>
      </c>
      <c r="B17" s="37">
        <v>270</v>
      </c>
      <c r="C17" s="37">
        <v>47.83</v>
      </c>
      <c r="D17" s="37">
        <v>69.400000000000006</v>
      </c>
      <c r="E17" s="37">
        <v>29.2</v>
      </c>
      <c r="G17" s="41">
        <v>-1.109696026365848</v>
      </c>
      <c r="H17" s="39">
        <f t="shared" si="1"/>
        <v>-0.93114673348500987</v>
      </c>
      <c r="I17" s="39">
        <f t="shared" si="1"/>
        <v>-1.1544725401815903</v>
      </c>
      <c r="J17" s="39">
        <f t="shared" si="1"/>
        <v>1.5921809658219075</v>
      </c>
      <c r="K17" s="39">
        <f t="shared" si="1"/>
        <v>-0.69742302843212367</v>
      </c>
      <c r="O17" s="110"/>
      <c r="S17" s="39">
        <v>-1.9762372370163019</v>
      </c>
    </row>
    <row r="18" spans="1:25">
      <c r="A18" s="29">
        <f t="shared" si="0"/>
        <v>489.85258547591252</v>
      </c>
      <c r="B18" s="37">
        <v>506</v>
      </c>
      <c r="C18" s="37">
        <v>59.87</v>
      </c>
      <c r="D18" s="37">
        <v>47.9</v>
      </c>
      <c r="E18" s="37">
        <v>33.299999999999997</v>
      </c>
      <c r="G18" s="41">
        <v>0.65272186855854863</v>
      </c>
      <c r="H18" s="39">
        <f t="shared" si="1"/>
        <v>0.76905155744313192</v>
      </c>
      <c r="I18" s="39">
        <f t="shared" si="1"/>
        <v>-0.37920787550375645</v>
      </c>
      <c r="J18" s="39">
        <f t="shared" si="1"/>
        <v>0.18055660437155646</v>
      </c>
      <c r="K18" s="39">
        <f t="shared" si="1"/>
        <v>1.3696379955956159</v>
      </c>
      <c r="O18" s="110"/>
      <c r="S18" s="39">
        <v>0.50504786229583898</v>
      </c>
    </row>
    <row r="19" spans="1:25">
      <c r="A19" s="40" t="s">
        <v>323</v>
      </c>
      <c r="B19" s="49">
        <f>AVERAGE(B7:B18)</f>
        <v>399.25</v>
      </c>
      <c r="C19" s="49">
        <f>AVERAGE(C7:C18)</f>
        <v>65.759166666666687</v>
      </c>
      <c r="D19" s="49">
        <f>AVERAGE(D7:D18)</f>
        <v>45.15</v>
      </c>
      <c r="E19" s="49">
        <f>AVERAGE(E7:E18)</f>
        <v>30.583333333333332</v>
      </c>
      <c r="G19" s="40" t="s">
        <v>323</v>
      </c>
      <c r="H19" s="49">
        <f>AVERAGE(H7:H18)</f>
        <v>0</v>
      </c>
      <c r="I19" s="49">
        <f>AVERAGE(I7:I18)</f>
        <v>-1.2952601953960159E-15</v>
      </c>
      <c r="J19" s="49">
        <f>AVERAGE(J7:J18)</f>
        <v>8.7892656116158222E-17</v>
      </c>
      <c r="K19" s="49">
        <f>AVERAGE(K7:K18)</f>
        <v>4.2558549277297669E-16</v>
      </c>
      <c r="O19" s="110"/>
    </row>
    <row r="20" spans="1:25">
      <c r="A20" s="40" t="s">
        <v>324</v>
      </c>
      <c r="B20" s="49">
        <f>_xlfn.STDEV.S(B7:B18)</f>
        <v>138.80733868469372</v>
      </c>
      <c r="C20" s="49">
        <f>_xlfn.STDEV.S(C7:C18)</f>
        <v>15.530180270763788</v>
      </c>
      <c r="D20" s="49">
        <f>_xlfn.STDEV.S(D7:D18)</f>
        <v>15.230680758378364</v>
      </c>
      <c r="E20" s="49">
        <f>_xlfn.STDEV.S(E7:E18)</f>
        <v>1.9834924815190054</v>
      </c>
      <c r="G20" s="40" t="s">
        <v>324</v>
      </c>
      <c r="H20" s="49">
        <f>_xlfn.STDEV.S(H7:H18)</f>
        <v>1</v>
      </c>
      <c r="I20" s="49">
        <f>_xlfn.STDEV.S(I7:I18)</f>
        <v>1.0000000000000071</v>
      </c>
      <c r="J20" s="49">
        <f>_xlfn.STDEV.S(J7:J18)</f>
        <v>0.99999999999999878</v>
      </c>
      <c r="K20" s="49">
        <f>_xlfn.STDEV.S(K7:K18)</f>
        <v>1</v>
      </c>
      <c r="O20" s="110"/>
      <c r="Q20" s="50" t="s">
        <v>325</v>
      </c>
      <c r="R20" s="112" t="s">
        <v>326</v>
      </c>
      <c r="S20" s="112"/>
      <c r="T20" s="112"/>
      <c r="U20" s="51"/>
      <c r="V20" s="50" t="s">
        <v>327</v>
      </c>
      <c r="W20" s="112" t="s">
        <v>328</v>
      </c>
      <c r="X20" s="112"/>
      <c r="Y20" s="112"/>
    </row>
    <row r="21" spans="1:25">
      <c r="O21" s="110"/>
      <c r="Q21" s="39">
        <f t="array" ref="Q21:Q32">MMULT(S7:S18,X7)</f>
        <v>0.80016461261450744</v>
      </c>
      <c r="R21" s="39">
        <f t="array" ref="R21:T32">MMULT(S7:S18,W11:Y11)</f>
        <v>0.77854839630764128</v>
      </c>
      <c r="S21" s="39">
        <v>-0.82600862819690246</v>
      </c>
      <c r="T21" s="39">
        <v>0.66104446737736722</v>
      </c>
      <c r="V21" s="39">
        <f t="array" ref="V21:Y32">H7:K18-Q21:T32</f>
        <v>0.33630267719021445</v>
      </c>
      <c r="W21" s="39">
        <v>-0.13651893113112767</v>
      </c>
      <c r="X21" s="39">
        <v>0.23837895215129168</v>
      </c>
      <c r="Y21" s="39">
        <v>0.35568067045741714</v>
      </c>
    </row>
    <row r="22" spans="1:25">
      <c r="A22" s="40" t="s">
        <v>329</v>
      </c>
      <c r="B22" s="41">
        <f>CORREL(A7:A18,B7:B18)</f>
        <v>0.9391917162480844</v>
      </c>
      <c r="G22" s="40" t="s">
        <v>329</v>
      </c>
      <c r="H22" s="41">
        <f>CORREL(G7:G18,H7:H18)</f>
        <v>0.93919171624808451</v>
      </c>
      <c r="O22" s="110"/>
      <c r="Q22" s="39">
        <v>-1.404559400781286</v>
      </c>
      <c r="R22" s="39">
        <v>-1.3666156335307871</v>
      </c>
      <c r="S22" s="39">
        <v>1.4499243850206964</v>
      </c>
      <c r="T22" s="39">
        <v>-1.1603565145871404</v>
      </c>
      <c r="V22" s="39">
        <v>-0.39829916830671186</v>
      </c>
      <c r="W22" s="39">
        <v>-0.60690728328718579</v>
      </c>
      <c r="X22" s="39">
        <v>-0.10723981796675863</v>
      </c>
      <c r="Y22" s="39">
        <v>0.46293348615501673</v>
      </c>
    </row>
    <row r="23" spans="1:25">
      <c r="O23" s="110"/>
      <c r="Q23" s="39">
        <v>-0.76402470211073537</v>
      </c>
      <c r="R23" s="39">
        <v>-0.7433847950662944</v>
      </c>
      <c r="S23" s="39">
        <v>0.78870145736259167</v>
      </c>
      <c r="T23" s="39">
        <v>-0.63118800095357508</v>
      </c>
      <c r="V23" s="39">
        <v>0.23631485121884388</v>
      </c>
      <c r="W23" s="39">
        <v>0.19482923948756292</v>
      </c>
      <c r="X23" s="39">
        <v>0.27822393210569651</v>
      </c>
      <c r="Y23" s="39">
        <v>8.5013340133237691E-2</v>
      </c>
    </row>
    <row r="24" spans="1:25">
      <c r="H24" s="52" t="s">
        <v>330</v>
      </c>
      <c r="I24" s="52" t="s">
        <v>331</v>
      </c>
      <c r="J24" s="52" t="s">
        <v>332</v>
      </c>
      <c r="O24" s="110"/>
      <c r="Q24" s="39">
        <v>1.0217087473928388</v>
      </c>
      <c r="R24" s="39">
        <v>0.9941075801603898</v>
      </c>
      <c r="S24" s="39">
        <v>-1.0547082782043957</v>
      </c>
      <c r="T24" s="39">
        <v>0.84406996271463319</v>
      </c>
      <c r="V24" s="39">
        <v>-0.39674179087582062</v>
      </c>
      <c r="W24" s="39">
        <v>0.86426320692345615</v>
      </c>
      <c r="X24" s="39">
        <v>-0.34706754118932448</v>
      </c>
      <c r="Y24" s="39">
        <v>-1.1381640108486608</v>
      </c>
    </row>
    <row r="25" spans="1:25">
      <c r="H25" s="53">
        <f>R7</f>
        <v>0.55832467692148779</v>
      </c>
      <c r="I25" s="53">
        <f>R40</f>
        <v>-0.33031308293885614</v>
      </c>
      <c r="J25" s="53">
        <f>R40</f>
        <v>-0.33031308293885614</v>
      </c>
      <c r="O25" s="110"/>
      <c r="Q25" s="39">
        <v>-0.39022871298612111</v>
      </c>
      <c r="R25" s="39">
        <v>-0.37968679681527717</v>
      </c>
      <c r="S25" s="39">
        <v>0.40283246573914355</v>
      </c>
      <c r="T25" s="39">
        <v>-0.32238182951929883</v>
      </c>
      <c r="V25" s="39">
        <v>-0.45446725994322051</v>
      </c>
      <c r="W25" s="39">
        <v>0.28894949421490057</v>
      </c>
      <c r="X25" s="39">
        <v>-0.32076128193389064</v>
      </c>
      <c r="Y25" s="39">
        <v>-0.57670568906187203</v>
      </c>
    </row>
    <row r="26" spans="1:25">
      <c r="H26" s="53">
        <f>R8</f>
        <v>-0.57400050445079309</v>
      </c>
      <c r="I26" s="53">
        <f>R41</f>
        <v>0.50851319952299245</v>
      </c>
      <c r="J26" s="53">
        <f>R41</f>
        <v>0.50851319952299245</v>
      </c>
      <c r="O26" s="110"/>
      <c r="Q26" s="39">
        <v>0.86987290608696866</v>
      </c>
      <c r="R26" s="39">
        <v>0.84637354033019163</v>
      </c>
      <c r="S26" s="39">
        <v>-0.89796838617344621</v>
      </c>
      <c r="T26" s="39">
        <v>0.71863296979779145</v>
      </c>
      <c r="V26" s="39">
        <v>0.19455208325469642</v>
      </c>
      <c r="W26" s="39">
        <v>-0.36596486488302749</v>
      </c>
      <c r="X26" s="39">
        <v>0.37599565717203776</v>
      </c>
      <c r="Y26" s="39">
        <v>0.70142114833508729</v>
      </c>
    </row>
    <row r="27" spans="1:25">
      <c r="H27" s="53">
        <f>R9</f>
        <v>0.59899664108469863</v>
      </c>
      <c r="I27" s="53">
        <f>R42</f>
        <v>0.79517771167853901</v>
      </c>
      <c r="J27" s="53">
        <f>R42</f>
        <v>0.79517771167853901</v>
      </c>
      <c r="O27" s="110"/>
      <c r="Q27" s="39">
        <v>0.59012218357180979</v>
      </c>
      <c r="R27" s="39">
        <v>0.57418020292624239</v>
      </c>
      <c r="S27" s="39">
        <v>-0.60918217031368072</v>
      </c>
      <c r="T27" s="39">
        <v>0.48752094053768358</v>
      </c>
      <c r="V27" s="39">
        <v>0.40946473535310413</v>
      </c>
      <c r="W27" s="39">
        <v>-0.11244484581434117</v>
      </c>
      <c r="X27" s="39">
        <v>-0.2410752939087395</v>
      </c>
      <c r="Y27" s="39">
        <v>-0.12620539568730516</v>
      </c>
    </row>
    <row r="28" spans="1:25">
      <c r="O28" s="110"/>
      <c r="Q28" s="39">
        <v>-0.30425153997980464</v>
      </c>
      <c r="R28" s="39">
        <v>-0.29603227234884649</v>
      </c>
      <c r="S28" s="39">
        <v>0.3140783698798591</v>
      </c>
      <c r="T28" s="39">
        <v>-0.25135302664476666</v>
      </c>
      <c r="V28" s="39">
        <v>0.25922510219039413</v>
      </c>
      <c r="W28" s="39">
        <v>0.28063215061832597</v>
      </c>
      <c r="X28" s="39">
        <v>-0.24513857548344636</v>
      </c>
      <c r="Y28" s="39">
        <v>-0.49648612432461792</v>
      </c>
    </row>
    <row r="29" spans="1:25">
      <c r="H29" s="40" t="s">
        <v>510</v>
      </c>
      <c r="I29" s="40" t="s">
        <v>333</v>
      </c>
      <c r="J29" s="40" t="s">
        <v>334</v>
      </c>
      <c r="K29" s="40" t="s">
        <v>335</v>
      </c>
      <c r="O29" s="110"/>
      <c r="Q29" s="39">
        <v>1.2392058508955008</v>
      </c>
      <c r="R29" s="39">
        <v>1.2057290621205439</v>
      </c>
      <c r="S29" s="39">
        <v>-1.2792301844081946</v>
      </c>
      <c r="T29" s="39">
        <v>1.0237520614658602</v>
      </c>
      <c r="V29" s="39">
        <v>-0.62864735447109399</v>
      </c>
      <c r="W29" s="39">
        <v>-0.2333750346685084</v>
      </c>
      <c r="X29" s="39">
        <v>-0.12911132968994576</v>
      </c>
      <c r="Y29" s="39">
        <v>9.3805321443445999E-2</v>
      </c>
    </row>
    <row r="30" spans="1:25">
      <c r="H30" s="41">
        <f>H7</f>
        <v>1.1364672898047219</v>
      </c>
      <c r="I30" s="54">
        <f t="array" ref="I30:K41">MMULT(I7:K18,H25:J27)</f>
        <v>1.3047755666686025</v>
      </c>
      <c r="J30" s="54">
        <v>0.29758898982885873</v>
      </c>
      <c r="K30" s="54">
        <v>0.29758898982885873</v>
      </c>
      <c r="O30" s="110"/>
      <c r="Q30" s="39">
        <v>-0.75579066180322918</v>
      </c>
      <c r="R30" s="39">
        <v>-0.7353731949836626</v>
      </c>
      <c r="S30" s="39">
        <v>0.78020147094517445</v>
      </c>
      <c r="T30" s="39">
        <v>-0.62438556717478766</v>
      </c>
      <c r="V30" s="39">
        <v>-0.29782798246897724</v>
      </c>
      <c r="W30" s="39">
        <v>0.48237119512513499</v>
      </c>
      <c r="X30" s="39">
        <v>-0.34358277310122887</v>
      </c>
      <c r="Y30" s="39">
        <v>-0.77886317677900296</v>
      </c>
    </row>
    <row r="31" spans="1:25">
      <c r="H31" s="41">
        <f t="shared" ref="H31:H41" si="2">H8</f>
        <v>-1.8028585690879979</v>
      </c>
      <c r="I31" s="54">
        <v>-2.290322215182762</v>
      </c>
      <c r="J31" s="54">
        <v>0.78007801622679729</v>
      </c>
      <c r="K31" s="54">
        <v>0.78007801622679729</v>
      </c>
      <c r="O31" s="110"/>
      <c r="Q31" s="39">
        <v>-1.2119441408831568</v>
      </c>
      <c r="R31" s="39">
        <v>-1.1792038193441057</v>
      </c>
      <c r="S31" s="39">
        <v>1.2510879655014875</v>
      </c>
      <c r="T31" s="39">
        <v>-1.0012301924769</v>
      </c>
      <c r="V31" s="39">
        <v>0.28079740739814696</v>
      </c>
      <c r="W31" s="39">
        <v>2.4731279162515385E-2</v>
      </c>
      <c r="X31" s="39">
        <v>0.34109300032042</v>
      </c>
      <c r="Y31" s="39">
        <v>0.30380716404477637</v>
      </c>
    </row>
    <row r="32" spans="1:25">
      <c r="H32" s="41">
        <f t="shared" si="2"/>
        <v>-0.52770985089189149</v>
      </c>
      <c r="I32" s="54">
        <v>-1.2458446023850955</v>
      </c>
      <c r="J32" s="54">
        <v>0.28943480320936388</v>
      </c>
      <c r="K32" s="54">
        <v>0.28943480320936388</v>
      </c>
      <c r="O32" s="110"/>
      <c r="Q32" s="39">
        <v>0.30972485798270405</v>
      </c>
      <c r="R32" s="39">
        <v>0.3013577302439609</v>
      </c>
      <c r="S32" s="39">
        <v>-0.31972846715232922</v>
      </c>
      <c r="T32" s="39">
        <v>0.25587472946312995</v>
      </c>
      <c r="V32" s="39">
        <v>0.45932669946042787</v>
      </c>
      <c r="W32" s="39">
        <v>-0.68056560574771741</v>
      </c>
      <c r="X32" s="39">
        <v>0.50028507152388568</v>
      </c>
      <c r="Y32" s="39">
        <v>1.1137632661324859</v>
      </c>
    </row>
    <row r="33" spans="1:28">
      <c r="H33" s="41">
        <f t="shared" si="2"/>
        <v>0.62496695651701817</v>
      </c>
      <c r="I33" s="54">
        <v>1.6660329497625543</v>
      </c>
      <c r="J33" s="54">
        <v>-1.5605227230725329</v>
      </c>
      <c r="K33" s="54">
        <v>-1.5605227230725329</v>
      </c>
    </row>
    <row r="34" spans="1:28" ht="17.399999999999999" customHeight="1">
      <c r="H34" s="41">
        <f t="shared" si="2"/>
        <v>-0.84469597292934162</v>
      </c>
      <c r="I34" s="54">
        <v>-0.63632017973546939</v>
      </c>
      <c r="J34" s="54">
        <v>-0.64322835719917626</v>
      </c>
      <c r="K34" s="54">
        <v>-0.64322835719917626</v>
      </c>
      <c r="O34" s="110" t="s">
        <v>506</v>
      </c>
      <c r="P34" s="38" t="s">
        <v>336</v>
      </c>
      <c r="Q34" s="39">
        <f t="array" ref="Q34:AB34">TRANSPOSE(V21:V32)</f>
        <v>0.33630267719021445</v>
      </c>
      <c r="R34" s="39">
        <v>-0.39829916830671186</v>
      </c>
      <c r="S34" s="39">
        <v>0.23631485121884388</v>
      </c>
      <c r="T34" s="39">
        <v>-0.39674179087582062</v>
      </c>
      <c r="U34" s="39">
        <v>-0.45446725994322051</v>
      </c>
      <c r="V34" s="39">
        <v>0.19455208325469642</v>
      </c>
      <c r="W34" s="39">
        <v>0.40946473535310413</v>
      </c>
      <c r="X34" s="39">
        <v>0.25922510219039413</v>
      </c>
      <c r="Y34" s="39">
        <v>-0.62864735447109399</v>
      </c>
      <c r="Z34" s="39">
        <v>-0.29782798246897724</v>
      </c>
      <c r="AA34" s="39">
        <v>0.28079740739814696</v>
      </c>
      <c r="AB34" s="39">
        <v>0.45932669946042787</v>
      </c>
    </row>
    <row r="35" spans="1:28">
      <c r="H35" s="41">
        <f t="shared" si="2"/>
        <v>1.0644249893416651</v>
      </c>
      <c r="I35" s="54">
        <v>1.4184442751857715</v>
      </c>
      <c r="J35" s="54">
        <v>0.70508009097080904</v>
      </c>
      <c r="K35" s="54">
        <v>0.70508009097080904</v>
      </c>
      <c r="O35" s="110"/>
      <c r="P35" s="111" t="s">
        <v>337</v>
      </c>
      <c r="Q35" s="39">
        <f t="array" ref="Q35:AB37">TRANSPOSE(W21:Y32)</f>
        <v>-0.13651893113112767</v>
      </c>
      <c r="R35" s="39">
        <v>-0.60690728328718579</v>
      </c>
      <c r="S35" s="39">
        <v>0.19482923948756292</v>
      </c>
      <c r="T35" s="39">
        <v>0.86426320692345615</v>
      </c>
      <c r="U35" s="39">
        <v>0.28894949421490057</v>
      </c>
      <c r="V35" s="39">
        <v>-0.36596486488302749</v>
      </c>
      <c r="W35" s="39">
        <v>-0.11244484581434117</v>
      </c>
      <c r="X35" s="39">
        <v>0.28063215061832597</v>
      </c>
      <c r="Y35" s="39">
        <v>-0.2333750346685084</v>
      </c>
      <c r="Z35" s="39">
        <v>0.48237119512513499</v>
      </c>
      <c r="AA35" s="39">
        <v>2.4731279162515385E-2</v>
      </c>
      <c r="AB35" s="39">
        <v>-0.68056560574771741</v>
      </c>
    </row>
    <row r="36" spans="1:28">
      <c r="H36" s="41">
        <f t="shared" si="2"/>
        <v>0.99958691892491391</v>
      </c>
      <c r="I36" s="54">
        <v>0.96227325519651585</v>
      </c>
      <c r="J36" s="54">
        <v>-0.2975743047115465</v>
      </c>
      <c r="K36" s="54">
        <v>-0.2975743047115465</v>
      </c>
      <c r="O36" s="110"/>
      <c r="P36" s="111"/>
      <c r="Q36" s="39">
        <v>0.23837895215129168</v>
      </c>
      <c r="R36" s="39">
        <v>-0.10723981796675863</v>
      </c>
      <c r="S36" s="39">
        <v>0.27822393210569651</v>
      </c>
      <c r="T36" s="39">
        <v>-0.34706754118932448</v>
      </c>
      <c r="U36" s="39">
        <v>-0.32076128193389064</v>
      </c>
      <c r="V36" s="39">
        <v>0.37599565717203776</v>
      </c>
      <c r="W36" s="39">
        <v>-0.2410752939087395</v>
      </c>
      <c r="X36" s="39">
        <v>-0.24513857548344636</v>
      </c>
      <c r="Y36" s="39">
        <v>-0.12911132968994576</v>
      </c>
      <c r="Z36" s="39">
        <v>-0.34358277310122887</v>
      </c>
      <c r="AA36" s="39">
        <v>0.34109300032042</v>
      </c>
      <c r="AB36" s="39">
        <v>0.50028507152388568</v>
      </c>
    </row>
    <row r="37" spans="1:28">
      <c r="H37" s="41">
        <f t="shared" si="2"/>
        <v>-4.5026437789410532E-2</v>
      </c>
      <c r="I37" s="54">
        <v>-0.49612288425231355</v>
      </c>
      <c r="J37" s="54">
        <v>-0.55452136766203763</v>
      </c>
      <c r="K37" s="54">
        <v>-0.55452136766203763</v>
      </c>
      <c r="O37" s="110"/>
      <c r="P37" s="111"/>
      <c r="Q37" s="39">
        <v>0.35568067045741714</v>
      </c>
      <c r="R37" s="39">
        <v>0.46293348615501673</v>
      </c>
      <c r="S37" s="39">
        <v>8.5013340133237691E-2</v>
      </c>
      <c r="T37" s="39">
        <v>-1.1381640108486608</v>
      </c>
      <c r="U37" s="39">
        <v>-0.57670568906187203</v>
      </c>
      <c r="V37" s="39">
        <v>0.70142114833508729</v>
      </c>
      <c r="W37" s="39">
        <v>-0.12620539568730516</v>
      </c>
      <c r="X37" s="39">
        <v>-0.49648612432461792</v>
      </c>
      <c r="Y37" s="39">
        <v>9.3805321443445999E-2</v>
      </c>
      <c r="Z37" s="39">
        <v>-0.77886317677900296</v>
      </c>
      <c r="AA37" s="39">
        <v>0.30380716404477637</v>
      </c>
      <c r="AB37" s="39">
        <v>1.1137632661324859</v>
      </c>
    </row>
    <row r="38" spans="1:28">
      <c r="H38" s="41">
        <f t="shared" si="2"/>
        <v>0.61055849642440685</v>
      </c>
      <c r="I38" s="54">
        <v>2.0206911063438722</v>
      </c>
      <c r="J38" s="54">
        <v>-0.14868478345951708</v>
      </c>
      <c r="K38" s="54">
        <v>-0.14868478345951708</v>
      </c>
      <c r="O38" s="110"/>
    </row>
    <row r="39" spans="1:28">
      <c r="H39" s="41">
        <f t="shared" si="2"/>
        <v>-1.0536186442722064</v>
      </c>
      <c r="I39" s="54">
        <v>-1.2324178968812189</v>
      </c>
      <c r="J39" s="54">
        <v>-0.81023588355780551</v>
      </c>
      <c r="K39" s="54">
        <v>-0.81023588355780551</v>
      </c>
      <c r="O39" s="110"/>
      <c r="Q39" s="44" t="s">
        <v>313</v>
      </c>
      <c r="R39" s="44" t="s">
        <v>338</v>
      </c>
      <c r="S39" s="44" t="s">
        <v>339</v>
      </c>
      <c r="T39" s="44" t="s">
        <v>340</v>
      </c>
      <c r="V39" s="44" t="s">
        <v>341</v>
      </c>
      <c r="W39" s="44" t="s">
        <v>342</v>
      </c>
      <c r="X39" s="44" t="s">
        <v>343</v>
      </c>
      <c r="Y39" s="47"/>
    </row>
    <row r="40" spans="1:28">
      <c r="H40" s="41">
        <f t="shared" si="2"/>
        <v>-0.93114673348500987</v>
      </c>
      <c r="I40" s="54">
        <v>-1.9762372370163019</v>
      </c>
      <c r="J40" s="54">
        <v>0.63640717324476714</v>
      </c>
      <c r="K40" s="54">
        <v>0.63640717324476714</v>
      </c>
      <c r="O40" s="110"/>
      <c r="Q40" s="45">
        <f t="array" ref="Q40:Q42">MMULT(Q35:AB37,V21:V32)</f>
        <v>-0.57945243456958906</v>
      </c>
      <c r="R40" s="46">
        <f>Q40/Q45</f>
        <v>-0.33031308293885614</v>
      </c>
      <c r="S40" s="45">
        <f t="array" ref="S40:S51">MMULT(W21:Y32,R40:R42)</f>
        <v>0.44914217430144932</v>
      </c>
      <c r="T40" s="45">
        <f t="array" ref="T40:T42">MMULT(Q35:AB37,S40:S51)</f>
        <v>-3.6017604756894968</v>
      </c>
      <c r="V40" s="45">
        <f>T40/T45</f>
        <v>-0.51597787862783984</v>
      </c>
      <c r="W40" s="45">
        <f t="array" ref="W40">MMULT(Q34:AB34,S40:S51)</f>
        <v>1.7542521459159124</v>
      </c>
      <c r="X40" s="45">
        <f>W40/T45</f>
        <v>0.25130913255822523</v>
      </c>
      <c r="Y40" s="47"/>
    </row>
    <row r="41" spans="1:28">
      <c r="H41" s="41">
        <f t="shared" si="2"/>
        <v>0.76905155744313192</v>
      </c>
      <c r="I41" s="54">
        <v>0.50504786229583898</v>
      </c>
      <c r="J41" s="54">
        <v>1.3061783461820298</v>
      </c>
      <c r="K41" s="54">
        <v>1.3061783461820298</v>
      </c>
      <c r="O41" s="110"/>
      <c r="Q41" s="45">
        <v>0.89206037148977591</v>
      </c>
      <c r="R41" s="46">
        <f>Q41/Q45</f>
        <v>0.50851319952299245</v>
      </c>
      <c r="S41" s="45">
        <v>0.51405094303021115</v>
      </c>
      <c r="T41" s="45">
        <v>2.4566357376440484</v>
      </c>
      <c r="V41" s="45">
        <f>T41/T45</f>
        <v>0.35193059200536081</v>
      </c>
      <c r="W41" s="47"/>
      <c r="X41" s="47"/>
      <c r="Y41" s="47"/>
    </row>
    <row r="42" spans="1:28">
      <c r="O42" s="110"/>
      <c r="Q42" s="45">
        <v>1.3949422070965816</v>
      </c>
      <c r="R42" s="46">
        <f>Q42/Q45</f>
        <v>0.79517771167853901</v>
      </c>
      <c r="S42" s="45">
        <v>0.14472660842646318</v>
      </c>
      <c r="T42" s="45">
        <v>5.7113206852085012</v>
      </c>
      <c r="V42" s="45">
        <f>T42/T45</f>
        <v>0.81818742562358904</v>
      </c>
      <c r="W42" s="47"/>
      <c r="X42" s="47"/>
      <c r="Y42" s="47"/>
    </row>
    <row r="43" spans="1:28">
      <c r="B43" s="109" t="s">
        <v>344</v>
      </c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O43" s="110"/>
      <c r="R43" s="47"/>
      <c r="S43" s="45">
        <v>-1.3670085238317766</v>
      </c>
      <c r="T43" s="47"/>
      <c r="V43" s="47"/>
      <c r="W43" s="47"/>
      <c r="X43" s="47"/>
      <c r="Y43" s="47"/>
    </row>
    <row r="44" spans="1:28">
      <c r="A44" s="52" t="s">
        <v>345</v>
      </c>
      <c r="B44" s="39">
        <f t="array" ref="B44:M45">TRANSPOSE(I30:J41)</f>
        <v>1.3047755666686025</v>
      </c>
      <c r="C44" s="39">
        <v>-2.290322215182762</v>
      </c>
      <c r="D44" s="39">
        <v>-1.2458446023850955</v>
      </c>
      <c r="E44" s="39">
        <v>1.6660329497625543</v>
      </c>
      <c r="F44" s="39">
        <v>-0.63632017973546939</v>
      </c>
      <c r="G44" s="39">
        <v>1.4184442751857715</v>
      </c>
      <c r="H44" s="39">
        <v>0.96227325519651585</v>
      </c>
      <c r="I44" s="39">
        <v>-0.49612288425231355</v>
      </c>
      <c r="J44" s="39">
        <v>2.0206911063438722</v>
      </c>
      <c r="K44" s="39">
        <v>-1.2324178968812189</v>
      </c>
      <c r="L44" s="39">
        <v>-1.9762372370163019</v>
      </c>
      <c r="M44" s="39">
        <v>0.50504786229583898</v>
      </c>
      <c r="O44" s="110"/>
      <c r="Q44" s="44" t="s">
        <v>320</v>
      </c>
      <c r="R44" s="47"/>
      <c r="S44" s="45">
        <v>-0.71713865414726086</v>
      </c>
      <c r="T44" s="44" t="s">
        <v>346</v>
      </c>
      <c r="V44" s="44" t="s">
        <v>347</v>
      </c>
      <c r="W44" s="45">
        <f t="array" ref="W44:Y44">TRANSPOSE(V40:V42)</f>
        <v>-0.51597787862783984</v>
      </c>
      <c r="X44" s="45">
        <v>0.35193059200536081</v>
      </c>
      <c r="Y44" s="45">
        <v>0.81818742562358904</v>
      </c>
    </row>
    <row r="45" spans="1:28">
      <c r="A45" s="52" t="s">
        <v>334</v>
      </c>
      <c r="B45" s="39">
        <v>0.29758898982885873</v>
      </c>
      <c r="C45" s="39">
        <v>0.78007801622679729</v>
      </c>
      <c r="D45" s="39">
        <v>0.28943480320936388</v>
      </c>
      <c r="E45" s="39">
        <v>-1.5605227230725329</v>
      </c>
      <c r="F45" s="39">
        <v>-0.64322835719917626</v>
      </c>
      <c r="G45" s="39">
        <v>0.70508009097080904</v>
      </c>
      <c r="H45" s="39">
        <v>-0.2975743047115465</v>
      </c>
      <c r="I45" s="39">
        <v>-0.55452136766203763</v>
      </c>
      <c r="J45" s="39">
        <v>-0.14868478345951708</v>
      </c>
      <c r="K45" s="39">
        <v>-0.81023588355780551</v>
      </c>
      <c r="L45" s="39">
        <v>0.63640717324476714</v>
      </c>
      <c r="M45" s="39">
        <v>1.3061783461820298</v>
      </c>
      <c r="O45" s="110"/>
      <c r="Q45" s="48">
        <f>SQRT(SUMSQ(Q40:Q42))</f>
        <v>1.7542521459159122</v>
      </c>
      <c r="R45" s="47"/>
      <c r="S45" s="45">
        <v>0.86983620105814563</v>
      </c>
      <c r="T45" s="45">
        <f>SUMSQ(S40:S51)</f>
        <v>6.9804552188706221</v>
      </c>
      <c r="U45" s="47"/>
      <c r="V45" s="47"/>
      <c r="W45" s="47"/>
      <c r="X45" s="47"/>
    </row>
    <row r="46" spans="1:28">
      <c r="O46" s="110"/>
      <c r="Q46" s="47"/>
      <c r="R46" s="47"/>
      <c r="S46" s="45">
        <v>-0.18580368309407541</v>
      </c>
      <c r="T46" s="47"/>
      <c r="U46" s="47"/>
      <c r="V46" s="47"/>
      <c r="W46" s="47"/>
      <c r="X46" s="47"/>
    </row>
    <row r="47" spans="1:28">
      <c r="A47" s="113" t="s">
        <v>348</v>
      </c>
      <c r="B47" s="113"/>
      <c r="D47" s="113" t="s">
        <v>349</v>
      </c>
      <c r="E47" s="113"/>
      <c r="H47" s="43" t="s">
        <v>350</v>
      </c>
      <c r="K47" s="55" t="s">
        <v>351</v>
      </c>
      <c r="O47" s="110"/>
      <c r="Q47" s="47"/>
      <c r="R47" s="47"/>
      <c r="S47" s="45">
        <v>-0.61214737240869288</v>
      </c>
      <c r="T47" s="47"/>
      <c r="U47" s="47"/>
      <c r="V47" s="47"/>
      <c r="W47" s="47"/>
      <c r="X47" s="47"/>
    </row>
    <row r="48" spans="1:28">
      <c r="A48" s="39">
        <f t="array" ref="A48:B49">MMULT(B44:M45,I30:J41)</f>
        <v>24.627438338602616</v>
      </c>
      <c r="B48" s="39">
        <v>-2.8605430703666546</v>
      </c>
      <c r="D48" s="39">
        <f t="array" ref="D48:E49">MINVERSE(A48:B49)</f>
        <v>4.2537862265494171E-2</v>
      </c>
      <c r="E48" s="39">
        <v>1.6639700514394867E-2</v>
      </c>
      <c r="H48" s="39">
        <f t="array" ref="H48:H49">MMULT(B44:M45,H30:H41)</f>
        <v>15.102984115658813</v>
      </c>
      <c r="J48" s="40" t="s">
        <v>352</v>
      </c>
      <c r="K48" s="56">
        <f t="array" ref="K48:K49">MMULT(D48:E49,H48:H49)</f>
        <v>0.64244865810984086</v>
      </c>
      <c r="O48" s="110"/>
      <c r="Q48" s="47"/>
      <c r="R48" s="47"/>
      <c r="S48" s="45">
        <v>8.6023912675684364E-2</v>
      </c>
      <c r="T48" s="47"/>
      <c r="U48" s="47"/>
      <c r="V48" s="47"/>
      <c r="W48" s="47"/>
      <c r="X48" s="47"/>
    </row>
    <row r="49" spans="1:25">
      <c r="A49" s="39">
        <v>-2.8605430703666546</v>
      </c>
      <c r="B49" s="39">
        <v>7.312714975038463</v>
      </c>
      <c r="D49" s="39">
        <v>1.6639700514394867E-2</v>
      </c>
      <c r="E49" s="39">
        <v>0.14325713275785354</v>
      </c>
      <c r="H49" s="39">
        <v>-1.1102230246251565E-15</v>
      </c>
      <c r="J49" s="40" t="s">
        <v>353</v>
      </c>
      <c r="K49" s="56">
        <v>0.25130913255822529</v>
      </c>
      <c r="O49" s="110"/>
      <c r="S49" s="39">
        <v>-0.95338453045517702</v>
      </c>
    </row>
    <row r="50" spans="1:25">
      <c r="O50" s="110"/>
      <c r="S50" s="39">
        <v>0.40686191335931371</v>
      </c>
    </row>
    <row r="51" spans="1:25">
      <c r="O51" s="110"/>
      <c r="S51" s="39">
        <v>1.3648410110857248</v>
      </c>
    </row>
    <row r="52" spans="1:25">
      <c r="O52" s="110"/>
    </row>
    <row r="53" spans="1:25">
      <c r="O53" s="110"/>
      <c r="Q53" s="50" t="s">
        <v>354</v>
      </c>
      <c r="R53" s="112" t="s">
        <v>355</v>
      </c>
      <c r="S53" s="112"/>
      <c r="T53" s="112"/>
      <c r="U53" s="51"/>
      <c r="V53" s="50" t="s">
        <v>356</v>
      </c>
      <c r="W53" s="112" t="s">
        <v>357</v>
      </c>
      <c r="X53" s="112"/>
      <c r="Y53" s="112"/>
    </row>
    <row r="54" spans="1:25">
      <c r="O54" s="110"/>
      <c r="Q54" s="39">
        <f t="array" ref="Q54:Q65">MMULT(S40:S51,X40)</f>
        <v>0.11287353021901243</v>
      </c>
      <c r="R54" s="39">
        <f t="array" ref="R54:T65">MMULT(S40:S51,W44:Y44)</f>
        <v>-0.23174742629835729</v>
      </c>
      <c r="S54" s="39">
        <v>0.158066871296484</v>
      </c>
      <c r="T54" s="39">
        <v>0.36748247933068412</v>
      </c>
      <c r="V54" s="39">
        <f t="array" ref="V54:Y65">V21:Y32-Q54:T65</f>
        <v>0.22342914697120203</v>
      </c>
      <c r="W54" s="39">
        <v>9.5228495167229615E-2</v>
      </c>
      <c r="X54" s="39">
        <v>8.0312080854807677E-2</v>
      </c>
      <c r="Y54" s="39">
        <v>-1.1801808873266983E-2</v>
      </c>
    </row>
    <row r="55" spans="1:25">
      <c r="O55" s="110"/>
      <c r="Q55" s="39">
        <v>0.12918569658366003</v>
      </c>
      <c r="R55" s="39">
        <v>-0.26523891509136888</v>
      </c>
      <c r="S55" s="39">
        <v>0.18091025270153621</v>
      </c>
      <c r="T55" s="39">
        <v>0.42059001771726667</v>
      </c>
      <c r="V55" s="39">
        <v>-0.52748486489037183</v>
      </c>
      <c r="W55" s="39">
        <v>-0.34166836819581692</v>
      </c>
      <c r="X55" s="39">
        <v>-0.28815007066829484</v>
      </c>
      <c r="Y55" s="39">
        <v>4.2343468437750054E-2</v>
      </c>
    </row>
    <row r="56" spans="1:25">
      <c r="O56" s="110"/>
      <c r="Q56" s="39">
        <v>3.6371118421748394E-2</v>
      </c>
      <c r="R56" s="39">
        <v>-7.4675728396888519E-2</v>
      </c>
      <c r="S56" s="39">
        <v>5.0933720982453225E-2</v>
      </c>
      <c r="T56" s="39">
        <v>0.11841349116768113</v>
      </c>
      <c r="V56" s="39">
        <v>0.19994373279709549</v>
      </c>
      <c r="W56" s="39">
        <v>0.26950496788445144</v>
      </c>
      <c r="X56" s="39">
        <v>0.2272902111232433</v>
      </c>
      <c r="Y56" s="39">
        <v>-3.3400151034443437E-2</v>
      </c>
    </row>
    <row r="57" spans="1:25">
      <c r="O57" s="110"/>
      <c r="Q57" s="39">
        <v>-0.34354172632386376</v>
      </c>
      <c r="R57" s="39">
        <v>0.70534615819289492</v>
      </c>
      <c r="S57" s="39">
        <v>-0.48109211906849153</v>
      </c>
      <c r="T57" s="39">
        <v>-1.1184691849194239</v>
      </c>
      <c r="V57" s="39">
        <v>-5.320006455195686E-2</v>
      </c>
      <c r="W57" s="39">
        <v>0.15891704873056123</v>
      </c>
      <c r="X57" s="39">
        <v>0.13402457787916705</v>
      </c>
      <c r="Y57" s="39">
        <v>-1.9694825929236881E-2</v>
      </c>
    </row>
    <row r="58" spans="1:25">
      <c r="O58" s="110"/>
      <c r="Q58" s="39">
        <v>-0.18022349309772123</v>
      </c>
      <c r="R58" s="39">
        <v>0.37002768144892778</v>
      </c>
      <c r="S58" s="39">
        <v>-0.2523830311039732</v>
      </c>
      <c r="T58" s="39">
        <v>-0.58675382925191277</v>
      </c>
      <c r="V58" s="39">
        <v>-0.27424376684549928</v>
      </c>
      <c r="W58" s="39">
        <v>-8.107818723402721E-2</v>
      </c>
      <c r="X58" s="39">
        <v>-6.8378250829917442E-2</v>
      </c>
      <c r="Y58" s="39">
        <v>1.0048140190040744E-2</v>
      </c>
    </row>
    <row r="59" spans="1:25">
      <c r="O59" s="110"/>
      <c r="Q59" s="39">
        <v>0.21859778115566458</v>
      </c>
      <c r="R59" s="39">
        <v>-0.44881623777568114</v>
      </c>
      <c r="S59" s="39">
        <v>0.30612196918608725</v>
      </c>
      <c r="T59" s="39">
        <v>0.71168904205796679</v>
      </c>
      <c r="V59" s="39">
        <v>-2.4045697900968166E-2</v>
      </c>
      <c r="W59" s="39">
        <v>8.2851372892653652E-2</v>
      </c>
      <c r="X59" s="39">
        <v>6.9873687985950506E-2</v>
      </c>
      <c r="Y59" s="39">
        <v>-1.0267893722879506E-2</v>
      </c>
    </row>
    <row r="60" spans="1:25">
      <c r="O60" s="110"/>
      <c r="Q60" s="39">
        <v>-4.6694162424495471E-2</v>
      </c>
      <c r="R60" s="39">
        <v>9.5870590244120465E-2</v>
      </c>
      <c r="S60" s="39">
        <v>-6.5390000188074407E-2</v>
      </c>
      <c r="T60" s="39">
        <v>-0.15202223714212273</v>
      </c>
      <c r="V60" s="39">
        <v>0.4561588977775996</v>
      </c>
      <c r="W60" s="39">
        <v>-0.20831543605846164</v>
      </c>
      <c r="X60" s="39">
        <v>-0.1756852937206651</v>
      </c>
      <c r="Y60" s="39">
        <v>2.581684145481758E-2</v>
      </c>
    </row>
    <row r="61" spans="1:25">
      <c r="O61" s="110"/>
      <c r="Q61" s="39">
        <v>-0.15383822515782547</v>
      </c>
      <c r="R61" s="39">
        <v>0.3158545026230436</v>
      </c>
      <c r="S61" s="39">
        <v>-0.21543338716631735</v>
      </c>
      <c r="T61" s="39">
        <v>-0.50085128273331292</v>
      </c>
      <c r="V61" s="39">
        <v>0.4130633273482196</v>
      </c>
      <c r="W61" s="39">
        <v>-3.5222352004717628E-2</v>
      </c>
      <c r="X61" s="39">
        <v>-2.9705188317129011E-2</v>
      </c>
      <c r="Y61" s="39">
        <v>4.3651584086950024E-3</v>
      </c>
    </row>
    <row r="62" spans="1:25">
      <c r="O62" s="110"/>
      <c r="Q62" s="39">
        <v>2.1618594873790753E-2</v>
      </c>
      <c r="R62" s="39">
        <v>-4.4386435973666157E-2</v>
      </c>
      <c r="S62" s="39">
        <v>3.0274446514571059E-2</v>
      </c>
      <c r="T62" s="39">
        <v>7.0383683654186624E-2</v>
      </c>
      <c r="V62" s="39">
        <v>-0.6502659493448848</v>
      </c>
      <c r="W62" s="39">
        <v>-0.18898859869484225</v>
      </c>
      <c r="X62" s="39">
        <v>-0.15938577620451683</v>
      </c>
      <c r="Y62" s="39">
        <v>2.3421637789259375E-2</v>
      </c>
    </row>
    <row r="63" spans="1:25">
      <c r="O63" s="110"/>
      <c r="Q63" s="39">
        <v>-0.23959423934312141</v>
      </c>
      <c r="R63" s="39">
        <v>0.49192532754086138</v>
      </c>
      <c r="S63" s="39">
        <v>-0.33552518221184341</v>
      </c>
      <c r="T63" s="39">
        <v>-0.78004723460247549</v>
      </c>
      <c r="V63" s="39">
        <v>-5.823374312585583E-2</v>
      </c>
      <c r="W63" s="39">
        <v>-9.5541324157263907E-3</v>
      </c>
      <c r="X63" s="39">
        <v>-8.0575908893854575E-3</v>
      </c>
      <c r="Y63" s="39">
        <v>1.1840578234725285E-3</v>
      </c>
    </row>
    <row r="64" spans="1:25">
      <c r="O64" s="110"/>
      <c r="Q64" s="39">
        <v>0.10224811451730892</v>
      </c>
      <c r="R64" s="39">
        <v>-0.20993174694960265</v>
      </c>
      <c r="S64" s="39">
        <v>0.1431871540329771</v>
      </c>
      <c r="T64" s="39">
        <v>0.33288930147574464</v>
      </c>
      <c r="V64" s="39">
        <v>0.17854929288083804</v>
      </c>
      <c r="W64" s="39">
        <v>0.23466302611211803</v>
      </c>
      <c r="X64" s="39">
        <v>0.1979058462874429</v>
      </c>
      <c r="Y64" s="39">
        <v>-2.9082137430968269E-2</v>
      </c>
    </row>
    <row r="65" spans="15:28">
      <c r="O65" s="110"/>
      <c r="Q65" s="39">
        <v>0.34299701057584459</v>
      </c>
      <c r="R65" s="39">
        <v>-0.70422776956428834</v>
      </c>
      <c r="S65" s="39">
        <v>0.48032930502459431</v>
      </c>
      <c r="T65" s="39">
        <v>1.1166957532457256</v>
      </c>
      <c r="V65" s="39">
        <v>0.11632968888458328</v>
      </c>
      <c r="W65" s="39">
        <v>2.3662163816570936E-2</v>
      </c>
      <c r="X65" s="39">
        <v>1.9955766499291372E-2</v>
      </c>
      <c r="Y65" s="39">
        <v>-2.932487113239679E-3</v>
      </c>
    </row>
    <row r="67" spans="15:28" ht="17.399999999999999" customHeight="1">
      <c r="O67" s="110" t="s">
        <v>507</v>
      </c>
      <c r="P67" s="38" t="s">
        <v>358</v>
      </c>
      <c r="Q67" s="39">
        <f t="array" ref="Q67:AB70">TRANSPOSE(V54:Y65)</f>
        <v>0.22342914697120203</v>
      </c>
      <c r="R67" s="39">
        <v>-0.52748486489037183</v>
      </c>
      <c r="S67" s="39">
        <v>0.19994373279709549</v>
      </c>
      <c r="T67" s="39">
        <v>-5.320006455195686E-2</v>
      </c>
      <c r="U67" s="39">
        <v>-0.27424376684549928</v>
      </c>
      <c r="V67" s="39">
        <v>-2.4045697900968166E-2</v>
      </c>
      <c r="W67" s="39">
        <v>0.4561588977775996</v>
      </c>
      <c r="X67" s="39">
        <v>0.4130633273482196</v>
      </c>
      <c r="Y67" s="39">
        <v>-0.6502659493448848</v>
      </c>
      <c r="Z67" s="39">
        <v>-5.823374312585583E-2</v>
      </c>
      <c r="AA67" s="39">
        <v>0.17854929288083804</v>
      </c>
      <c r="AB67" s="39">
        <v>0.11632968888458328</v>
      </c>
    </row>
    <row r="68" spans="15:28">
      <c r="O68" s="110"/>
      <c r="P68" s="111" t="s">
        <v>359</v>
      </c>
      <c r="Q68" s="39">
        <v>9.5228495167229615E-2</v>
      </c>
      <c r="R68" s="39">
        <v>-0.34166836819581692</v>
      </c>
      <c r="S68" s="39">
        <v>0.26950496788445144</v>
      </c>
      <c r="T68" s="39">
        <v>0.15891704873056123</v>
      </c>
      <c r="U68" s="39">
        <v>-8.107818723402721E-2</v>
      </c>
      <c r="V68" s="39">
        <v>8.2851372892653652E-2</v>
      </c>
      <c r="W68" s="39">
        <v>-0.20831543605846164</v>
      </c>
      <c r="X68" s="39">
        <v>-3.5222352004717628E-2</v>
      </c>
      <c r="Y68" s="39">
        <v>-0.18898859869484225</v>
      </c>
      <c r="Z68" s="39">
        <v>-9.5541324157263907E-3</v>
      </c>
      <c r="AA68" s="39">
        <v>0.23466302611211803</v>
      </c>
      <c r="AB68" s="39">
        <v>2.3662163816570936E-2</v>
      </c>
    </row>
    <row r="69" spans="15:28">
      <c r="O69" s="110"/>
      <c r="P69" s="111"/>
      <c r="Q69" s="39">
        <v>8.0312080854807677E-2</v>
      </c>
      <c r="R69" s="39">
        <v>-0.28815007066829484</v>
      </c>
      <c r="S69" s="39">
        <v>0.2272902111232433</v>
      </c>
      <c r="T69" s="39">
        <v>0.13402457787916705</v>
      </c>
      <c r="U69" s="39">
        <v>-6.8378250829917442E-2</v>
      </c>
      <c r="V69" s="39">
        <v>6.9873687985950506E-2</v>
      </c>
      <c r="W69" s="39">
        <v>-0.1756852937206651</v>
      </c>
      <c r="X69" s="39">
        <v>-2.9705188317129011E-2</v>
      </c>
      <c r="Y69" s="39">
        <v>-0.15938577620451683</v>
      </c>
      <c r="Z69" s="39">
        <v>-8.0575908893854575E-3</v>
      </c>
      <c r="AA69" s="39">
        <v>0.1979058462874429</v>
      </c>
      <c r="AB69" s="39">
        <v>1.9955766499291372E-2</v>
      </c>
    </row>
    <row r="70" spans="15:28">
      <c r="O70" s="110"/>
      <c r="P70" s="111"/>
      <c r="Q70" s="39">
        <v>-1.1801808873266983E-2</v>
      </c>
      <c r="R70" s="39">
        <v>4.2343468437750054E-2</v>
      </c>
      <c r="S70" s="39">
        <v>-3.3400151034443437E-2</v>
      </c>
      <c r="T70" s="39">
        <v>-1.9694825929236881E-2</v>
      </c>
      <c r="U70" s="39">
        <v>1.0048140190040744E-2</v>
      </c>
      <c r="V70" s="39">
        <v>-1.0267893722879506E-2</v>
      </c>
      <c r="W70" s="39">
        <v>2.581684145481758E-2</v>
      </c>
      <c r="X70" s="39">
        <v>4.3651584086950024E-3</v>
      </c>
      <c r="Y70" s="39">
        <v>2.3421637789259375E-2</v>
      </c>
      <c r="Z70" s="39">
        <v>1.1840578234725285E-3</v>
      </c>
      <c r="AA70" s="39">
        <v>-2.9082137430968269E-2</v>
      </c>
      <c r="AB70" s="39">
        <v>-2.932487113239679E-3</v>
      </c>
    </row>
    <row r="71" spans="15:28">
      <c r="O71" s="110"/>
    </row>
    <row r="72" spans="15:28">
      <c r="O72" s="110"/>
      <c r="Q72" s="44" t="s">
        <v>313</v>
      </c>
      <c r="R72" s="44" t="s">
        <v>508</v>
      </c>
      <c r="S72" s="44" t="s">
        <v>360</v>
      </c>
      <c r="T72" s="44" t="s">
        <v>361</v>
      </c>
      <c r="V72" s="44" t="s">
        <v>362</v>
      </c>
      <c r="W72" s="44" t="s">
        <v>363</v>
      </c>
      <c r="X72" s="44" t="s">
        <v>364</v>
      </c>
      <c r="Y72" s="47"/>
    </row>
    <row r="73" spans="15:28">
      <c r="O73" s="110"/>
      <c r="Q73" s="45">
        <f t="array" ref="Q73:Q75">MMULT(Q68:AB70,V54:V65)</f>
        <v>0.32570286625843919</v>
      </c>
      <c r="R73" s="46">
        <f>Q73/Q78</f>
        <v>0.76103010609301458</v>
      </c>
      <c r="S73" s="45">
        <f t="array" ref="S73:S84">MMULT(W54:Y65,R73:R75)</f>
        <v>0.12513104856799276</v>
      </c>
      <c r="T73" s="45">
        <f t="array" ref="T73:T75">MMULT(Q68:AB70,S73:S84)</f>
        <v>0.49039040156341168</v>
      </c>
      <c r="V73" s="45">
        <f>T73/T78</f>
        <v>0.76103010609301458</v>
      </c>
      <c r="W73" s="45">
        <f t="array" ref="W73">MMULT(Q67:AB67,S73:S84)</f>
        <v>0.42797632268523045</v>
      </c>
      <c r="X73" s="45">
        <f>W73/T78</f>
        <v>0.66417055721332874</v>
      </c>
      <c r="Y73" s="47"/>
    </row>
    <row r="74" spans="15:28">
      <c r="O74" s="110"/>
      <c r="Q74" s="45">
        <v>0.27468537525091419</v>
      </c>
      <c r="R74" s="46">
        <f>Q74/Q78</f>
        <v>0.64182376615479431</v>
      </c>
      <c r="S74" s="45">
        <v>-0.44895512734690352</v>
      </c>
      <c r="T74" s="45">
        <v>0.41357656142334304</v>
      </c>
      <c r="V74" s="45">
        <f>T74/T78</f>
        <v>0.64182376615479453</v>
      </c>
      <c r="W74" s="47"/>
      <c r="X74" s="47"/>
      <c r="Y74" s="47"/>
    </row>
    <row r="75" spans="15:28">
      <c r="O75" s="110"/>
      <c r="Q75" s="45">
        <v>-4.0364840065015513E-2</v>
      </c>
      <c r="R75" s="46">
        <f>Q75/Q78</f>
        <v>-9.4315591600386703E-2</v>
      </c>
      <c r="S75" s="45">
        <v>0.35413180861929272</v>
      </c>
      <c r="T75" s="45">
        <v>-6.0774810967795606E-2</v>
      </c>
      <c r="V75" s="45">
        <f>T75/T78</f>
        <v>-9.4315591600386758E-2</v>
      </c>
      <c r="W75" s="47"/>
      <c r="X75" s="47"/>
      <c r="Y75" s="47"/>
    </row>
    <row r="76" spans="15:28">
      <c r="O76" s="110"/>
      <c r="R76" s="47"/>
      <c r="S76" s="45">
        <v>0.20881834694610391</v>
      </c>
      <c r="T76" s="47"/>
      <c r="V76" s="47"/>
      <c r="W76" s="47"/>
      <c r="X76" s="47"/>
      <c r="Y76" s="47"/>
    </row>
    <row r="77" spans="15:28">
      <c r="O77" s="110"/>
      <c r="Q77" s="44" t="s">
        <v>320</v>
      </c>
      <c r="R77" s="47"/>
      <c r="S77" s="45">
        <v>-0.10653742418978315</v>
      </c>
      <c r="T77" s="44" t="s">
        <v>365</v>
      </c>
      <c r="V77" s="44" t="s">
        <v>366</v>
      </c>
      <c r="W77" s="45">
        <f t="array" ref="W77:Y77">TRANSPOSE(V73:V75)</f>
        <v>0.76103010609301458</v>
      </c>
      <c r="X77" s="45">
        <v>0.64182376615479453</v>
      </c>
      <c r="Y77" s="45">
        <v>-9.4315591600386758E-2</v>
      </c>
    </row>
    <row r="78" spans="15:28">
      <c r="O78" s="110"/>
      <c r="Q78" s="48">
        <f>SQRT(SUMSQ(Q73:Q75))</f>
        <v>0.4279763226852305</v>
      </c>
      <c r="R78" s="47"/>
      <c r="S78" s="45">
        <v>0.10886740515167916</v>
      </c>
      <c r="T78" s="45">
        <f>SUMSQ(S73:S84)</f>
        <v>0.64437713782570805</v>
      </c>
      <c r="U78" s="47"/>
      <c r="V78" s="47"/>
      <c r="W78" s="47"/>
      <c r="X78" s="47"/>
    </row>
    <row r="79" spans="15:28">
      <c r="O79" s="110"/>
      <c r="Q79" s="47"/>
      <c r="R79" s="47"/>
      <c r="S79" s="45">
        <v>-0.27372824595325668</v>
      </c>
      <c r="T79" s="47"/>
      <c r="U79" s="47"/>
      <c r="V79" s="47"/>
      <c r="W79" s="47"/>
      <c r="X79" s="47"/>
    </row>
    <row r="80" spans="15:28">
      <c r="O80" s="110"/>
      <c r="Q80" s="47"/>
      <c r="R80" s="47"/>
      <c r="S80" s="45">
        <v>-4.6282468620778366E-2</v>
      </c>
      <c r="T80" s="47"/>
      <c r="U80" s="47"/>
      <c r="V80" s="47"/>
      <c r="W80" s="47"/>
      <c r="X80" s="47"/>
    </row>
    <row r="81" spans="15:25">
      <c r="O81" s="110"/>
      <c r="Q81" s="47"/>
      <c r="R81" s="47"/>
      <c r="S81" s="45">
        <v>-0.2483326180945381</v>
      </c>
      <c r="T81" s="47"/>
      <c r="U81" s="47"/>
      <c r="V81" s="47"/>
      <c r="W81" s="47"/>
      <c r="X81" s="47"/>
    </row>
    <row r="82" spans="15:25">
      <c r="O82" s="110"/>
      <c r="S82" s="39">
        <v>-1.2554210850836776E-2</v>
      </c>
    </row>
    <row r="83" spans="15:25">
      <c r="O83" s="110"/>
      <c r="S83" s="39">
        <v>0.30834920226327694</v>
      </c>
    </row>
    <row r="84" spans="15:25">
      <c r="O84" s="110"/>
      <c r="S84" s="39">
        <v>3.1092283507741843E-2</v>
      </c>
    </row>
    <row r="85" spans="15:25">
      <c r="O85" s="110"/>
    </row>
    <row r="86" spans="15:25">
      <c r="O86" s="110"/>
      <c r="Q86" s="50" t="s">
        <v>367</v>
      </c>
      <c r="R86" s="112" t="s">
        <v>368</v>
      </c>
      <c r="S86" s="112"/>
      <c r="T86" s="112"/>
      <c r="U86" s="51"/>
      <c r="V86" s="50" t="s">
        <v>369</v>
      </c>
      <c r="W86" s="112" t="s">
        <v>370</v>
      </c>
      <c r="X86" s="112"/>
      <c r="Y86" s="112"/>
    </row>
    <row r="87" spans="15:25">
      <c r="O87" s="110"/>
      <c r="Q87" s="39">
        <f t="array" ref="Q87:Q98">MMULT(S73:S84,X73)</f>
        <v>8.3108358252091855E-2</v>
      </c>
      <c r="R87" s="39">
        <f t="array" ref="R87:T98">MMULT(S73:S84,W77:Y77)</f>
        <v>9.5228495167229685E-2</v>
      </c>
      <c r="S87" s="39">
        <v>8.0312080854807621E-2</v>
      </c>
      <c r="T87" s="39">
        <v>-1.1801808873266966E-2</v>
      </c>
      <c r="V87" s="39">
        <f t="array" ref="V87:Y98">V54:Y65-Q87:T98</f>
        <v>0.14032078871911019</v>
      </c>
      <c r="W87" s="39">
        <v>0</v>
      </c>
      <c r="X87" s="39">
        <v>0</v>
      </c>
      <c r="Y87" s="39">
        <v>-1.7347234759768071E-17</v>
      </c>
    </row>
    <row r="88" spans="15:25">
      <c r="O88" s="110"/>
      <c r="Q88" s="39">
        <v>-0.29818277709377389</v>
      </c>
      <c r="R88" s="39">
        <v>-0.34166836819581686</v>
      </c>
      <c r="S88" s="39">
        <v>-0.28815007066829501</v>
      </c>
      <c r="T88" s="39">
        <v>4.2343468437750179E-2</v>
      </c>
      <c r="V88" s="39">
        <v>-0.22930208779659794</v>
      </c>
      <c r="W88" s="39">
        <v>0</v>
      </c>
      <c r="X88" s="39">
        <v>0</v>
      </c>
      <c r="Y88" s="39">
        <v>-1.2490009027033011E-16</v>
      </c>
    </row>
    <row r="89" spans="15:25">
      <c r="O89" s="110"/>
      <c r="Q89" s="39">
        <v>0.23520392065763954</v>
      </c>
      <c r="R89" s="39">
        <v>0.2695049678844515</v>
      </c>
      <c r="S89" s="39">
        <v>0.22729021112324338</v>
      </c>
      <c r="T89" s="39">
        <v>-3.3400151034443534E-2</v>
      </c>
      <c r="V89" s="39">
        <v>-3.5260187860544051E-2</v>
      </c>
      <c r="W89" s="39">
        <v>0</v>
      </c>
      <c r="X89" s="39">
        <v>0</v>
      </c>
      <c r="Y89" s="39">
        <v>9.7144514654701197E-17</v>
      </c>
    </row>
    <row r="90" spans="15:25">
      <c r="O90" s="110"/>
      <c r="Q90" s="39">
        <v>0.13869099784756003</v>
      </c>
      <c r="R90" s="39">
        <v>0.15891704873056139</v>
      </c>
      <c r="S90" s="39">
        <v>0.13402457787916694</v>
      </c>
      <c r="T90" s="39">
        <v>-1.9694825929236607E-2</v>
      </c>
      <c r="V90" s="39">
        <v>-0.19189106239951689</v>
      </c>
      <c r="W90" s="39">
        <v>0</v>
      </c>
      <c r="X90" s="39">
        <v>0</v>
      </c>
      <c r="Y90" s="39">
        <v>-2.7408630920433552E-16</v>
      </c>
    </row>
    <row r="91" spans="15:25">
      <c r="O91" s="110"/>
      <c r="Q91" s="39">
        <v>-7.0759020388201047E-2</v>
      </c>
      <c r="R91" s="39">
        <v>-8.1078187234027169E-2</v>
      </c>
      <c r="S91" s="39">
        <v>-6.8378250829917539E-2</v>
      </c>
      <c r="T91" s="39">
        <v>1.0048140190040753E-2</v>
      </c>
      <c r="V91" s="39">
        <v>-0.20348474645729825</v>
      </c>
      <c r="W91" s="39">
        <v>0</v>
      </c>
      <c r="X91" s="39">
        <v>0</v>
      </c>
      <c r="Y91" s="39">
        <v>0</v>
      </c>
    </row>
    <row r="92" spans="15:25">
      <c r="O92" s="110"/>
      <c r="Q92" s="39">
        <v>7.2306525141959954E-2</v>
      </c>
      <c r="R92" s="39">
        <v>8.2851372892653596E-2</v>
      </c>
      <c r="S92" s="39">
        <v>6.9873687985950589E-2</v>
      </c>
      <c r="T92" s="39">
        <v>-1.0267893722879612E-2</v>
      </c>
      <c r="V92" s="39">
        <v>-9.635222304292812E-2</v>
      </c>
      <c r="W92" s="39">
        <v>0</v>
      </c>
      <c r="X92" s="39">
        <v>0</v>
      </c>
      <c r="Y92" s="39">
        <v>1.0581813203458523E-16</v>
      </c>
    </row>
    <row r="93" spans="15:25">
      <c r="O93" s="110"/>
      <c r="Q93" s="39">
        <v>-0.18180224163980158</v>
      </c>
      <c r="R93" s="39">
        <v>-0.20831543605846173</v>
      </c>
      <c r="S93" s="39">
        <v>-0.1756852937206651</v>
      </c>
      <c r="T93" s="39">
        <v>2.5816841454817576E-2</v>
      </c>
      <c r="V93" s="39">
        <v>0.63796113941740118</v>
      </c>
      <c r="W93" s="39">
        <v>0</v>
      </c>
      <c r="X93" s="39">
        <v>0</v>
      </c>
      <c r="Y93" s="39">
        <v>0</v>
      </c>
    </row>
    <row r="94" spans="15:25">
      <c r="O94" s="110"/>
      <c r="Q94" s="39">
        <v>-3.073945297307077E-2</v>
      </c>
      <c r="R94" s="39">
        <v>-3.5222352004717579E-2</v>
      </c>
      <c r="S94" s="39">
        <v>-2.970518831712907E-2</v>
      </c>
      <c r="T94" s="39">
        <v>4.3651584086950475E-3</v>
      </c>
      <c r="V94" s="39">
        <v>0.44380278032129039</v>
      </c>
      <c r="W94" s="39">
        <v>0</v>
      </c>
      <c r="X94" s="39">
        <v>5.8980598183211441E-17</v>
      </c>
      <c r="Y94" s="39">
        <v>-4.5102810375396984E-17</v>
      </c>
    </row>
    <row r="95" spans="15:25">
      <c r="O95" s="110"/>
      <c r="Q95" s="39">
        <v>-0.16493521333409414</v>
      </c>
      <c r="R95" s="39">
        <v>-0.18898859869484241</v>
      </c>
      <c r="S95" s="39">
        <v>-0.15938577620451672</v>
      </c>
      <c r="T95" s="39">
        <v>2.3421637789259271E-2</v>
      </c>
      <c r="V95" s="39">
        <v>-0.48533073601079069</v>
      </c>
      <c r="W95" s="39">
        <v>0</v>
      </c>
      <c r="X95" s="39">
        <v>0</v>
      </c>
      <c r="Y95" s="39">
        <v>1.0408340855860843E-16</v>
      </c>
    </row>
    <row r="96" spans="15:25">
      <c r="O96" s="110"/>
      <c r="Q96" s="39">
        <v>-8.3381372161738798E-3</v>
      </c>
      <c r="R96" s="39">
        <v>-9.5541324157263855E-3</v>
      </c>
      <c r="S96" s="39">
        <v>-8.0575908893854471E-3</v>
      </c>
      <c r="T96" s="39">
        <v>1.1840578234726654E-3</v>
      </c>
      <c r="V96" s="39">
        <v>-4.989560590968195E-2</v>
      </c>
      <c r="W96" s="39">
        <v>0</v>
      </c>
      <c r="X96" s="39">
        <v>0</v>
      </c>
      <c r="Y96" s="39">
        <v>-1.3682631416767066E-16</v>
      </c>
    </row>
    <row r="97" spans="15:25">
      <c r="O97" s="110"/>
      <c r="Q97" s="39">
        <v>0.20479646148348604</v>
      </c>
      <c r="R97" s="39">
        <v>0.23466302611211806</v>
      </c>
      <c r="S97" s="39">
        <v>0.1979058462874429</v>
      </c>
      <c r="T97" s="39">
        <v>-2.9082137430968279E-2</v>
      </c>
      <c r="V97" s="39">
        <v>-2.6247168602648002E-2</v>
      </c>
      <c r="W97" s="39">
        <v>0</v>
      </c>
      <c r="X97" s="39">
        <v>0</v>
      </c>
      <c r="Y97" s="39">
        <v>0</v>
      </c>
    </row>
    <row r="98" spans="15:25">
      <c r="O98" s="110"/>
      <c r="Q98" s="39">
        <v>2.0650579262371693E-2</v>
      </c>
      <c r="R98" s="39">
        <v>2.3662163816570863E-2</v>
      </c>
      <c r="S98" s="39">
        <v>1.9955766499291476E-2</v>
      </c>
      <c r="T98" s="39">
        <v>-2.9324871132396205E-3</v>
      </c>
      <c r="V98" s="39">
        <v>9.5679109622211586E-2</v>
      </c>
      <c r="W98" s="39">
        <v>7.2858385991025898E-17</v>
      </c>
      <c r="X98" s="39">
        <v>-1.0408340855860843E-16</v>
      </c>
      <c r="Y98" s="39">
        <v>-5.8546917314217239E-17</v>
      </c>
    </row>
    <row r="132" spans="11:13">
      <c r="K132" s="37" t="s">
        <v>371</v>
      </c>
      <c r="L132" s="37">
        <v>0.59623426999999996</v>
      </c>
      <c r="M132" s="37">
        <v>-0.51742783000000003</v>
      </c>
    </row>
    <row r="133" spans="11:13">
      <c r="L133" s="37">
        <v>-0.63297963999999995</v>
      </c>
      <c r="M133" s="37">
        <v>0.35129701000000002</v>
      </c>
    </row>
    <row r="134" spans="11:13">
      <c r="L134" s="37">
        <v>0.50732522999999996</v>
      </c>
      <c r="M134" s="37">
        <v>0.81707275999999995</v>
      </c>
    </row>
  </sheetData>
  <mergeCells count="17">
    <mergeCell ref="W20:Y20"/>
    <mergeCell ref="B43:M43"/>
    <mergeCell ref="A47:B47"/>
    <mergeCell ref="D47:E47"/>
    <mergeCell ref="R53:T53"/>
    <mergeCell ref="W53:Y53"/>
    <mergeCell ref="J1:K1"/>
    <mergeCell ref="O1:O32"/>
    <mergeCell ref="C5:E5"/>
    <mergeCell ref="H5:K5"/>
    <mergeCell ref="R20:T20"/>
    <mergeCell ref="O67:O98"/>
    <mergeCell ref="P68:P70"/>
    <mergeCell ref="R86:T86"/>
    <mergeCell ref="W86:Y86"/>
    <mergeCell ref="O34:O65"/>
    <mergeCell ref="P35:P37"/>
  </mergeCells>
  <phoneticPr fontId="1" type="noConversion"/>
  <pageMargins left="0.7" right="0.7" top="0.75" bottom="0.75" header="0.3" footer="0.3"/>
  <pageSetup paperSize="9" orientation="portrait" r:id="rId1"/>
  <ignoredErrors>
    <ignoredError sqref="A7:A18" formulaRange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zoomScale="70" zoomScaleNormal="70" workbookViewId="0">
      <selection activeCell="L2" sqref="L2"/>
    </sheetView>
  </sheetViews>
  <sheetFormatPr defaultRowHeight="17.399999999999999"/>
  <cols>
    <col min="1" max="16384" width="8.796875" style="57"/>
  </cols>
  <sheetData>
    <row r="1" spans="1:12">
      <c r="A1" s="109" t="s">
        <v>555</v>
      </c>
      <c r="B1" s="109"/>
      <c r="D1" s="109" t="s">
        <v>556</v>
      </c>
      <c r="E1" s="109"/>
      <c r="G1" s="109" t="s">
        <v>558</v>
      </c>
      <c r="H1" s="109"/>
      <c r="J1" s="80" t="s">
        <v>559</v>
      </c>
      <c r="L1" s="80" t="s">
        <v>560</v>
      </c>
    </row>
    <row r="2" spans="1:12">
      <c r="A2" s="57">
        <v>0.42</v>
      </c>
      <c r="B2" s="57">
        <v>0.55000000000000004</v>
      </c>
      <c r="D2" s="57">
        <v>1</v>
      </c>
      <c r="E2" s="57">
        <v>-0.77</v>
      </c>
      <c r="G2" s="84">
        <f t="array" ref="G2:H2">MMULT(A2:B2,D10:E11)</f>
        <v>2.0719724883321051</v>
      </c>
      <c r="H2" s="84">
        <v>2.145418816015721</v>
      </c>
      <c r="J2" s="84">
        <f>SUMPRODUCT(A2:B2,G2:H2)</f>
        <v>2.0502087939081308</v>
      </c>
      <c r="L2" s="84">
        <f>J2/2</f>
        <v>1.0251043969540654</v>
      </c>
    </row>
    <row r="3" spans="1:12">
      <c r="D3" s="57">
        <v>-0.77</v>
      </c>
      <c r="E3" s="57">
        <v>1</v>
      </c>
    </row>
    <row r="4" spans="1:12">
      <c r="D4" s="57" t="s">
        <v>561</v>
      </c>
    </row>
    <row r="9" spans="1:12">
      <c r="D9" s="109" t="s">
        <v>557</v>
      </c>
      <c r="E9" s="109"/>
    </row>
    <row r="10" spans="1:12">
      <c r="D10" s="84">
        <f t="array" ref="D10:E11">MINVERSE(D2:E3)</f>
        <v>2.4563989191844757</v>
      </c>
      <c r="E10" s="84">
        <v>1.891427167772046</v>
      </c>
    </row>
    <row r="11" spans="1:12">
      <c r="D11" s="84">
        <v>1.8914271677720462</v>
      </c>
      <c r="E11" s="84">
        <v>2.4563989191844753</v>
      </c>
    </row>
  </sheetData>
  <mergeCells count="4">
    <mergeCell ref="A1:B1"/>
    <mergeCell ref="D9:E9"/>
    <mergeCell ref="G1:H1"/>
    <mergeCell ref="D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기초통계량</vt:lpstr>
      <vt:lpstr>정규분포와 시그마</vt:lpstr>
      <vt:lpstr>데이터 표준화</vt:lpstr>
      <vt:lpstr>공분산</vt:lpstr>
      <vt:lpstr>상관계수</vt:lpstr>
      <vt:lpstr>행렬</vt:lpstr>
      <vt:lpstr>주성분분석</vt:lpstr>
      <vt:lpstr>고유값고유벡터</vt:lpstr>
      <vt:lpstr>MTS</vt:lpstr>
      <vt:lpstr>MTS (상관행렬)</vt:lpstr>
      <vt:lpstr>단순회귀분석</vt:lpstr>
      <vt:lpstr>다중회귀분석</vt:lpstr>
      <vt:lpstr>PCR</vt:lpstr>
      <vt:lpstr>PLS</vt:lpstr>
      <vt:lpstr>마할라노비스거리계산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mingk</dc:creator>
  <cp:lastModifiedBy>mingk</cp:lastModifiedBy>
  <dcterms:created xsi:type="dcterms:W3CDTF">2017-12-14T10:12:00Z</dcterms:created>
  <dcterms:modified xsi:type="dcterms:W3CDTF">2018-06-03T08:49:52Z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94384b61-fbdd-41b0-84d0-5b29db546db7</vt:lpwstr>
  </property>
</Properties>
</file>