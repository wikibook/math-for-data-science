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현재_통합_문서" defaultThemeVersion="124226"/>
  <bookViews>
    <workbookView xWindow="480" yWindow="84" windowWidth="22056" windowHeight="9264" tabRatio="813" firstSheet="2" activeTab="14"/>
  </bookViews>
  <sheets>
    <sheet name="기초통계량" sheetId="3" r:id="rId1"/>
    <sheet name="정규분포와 시그마" sheetId="2" r:id="rId2"/>
    <sheet name="데이터 표준화" sheetId="1" r:id="rId3"/>
    <sheet name="공분산" sheetId="5" r:id="rId4"/>
    <sheet name="상관계수" sheetId="4" r:id="rId5"/>
    <sheet name="행렬" sheetId="16" r:id="rId6"/>
    <sheet name="주성분분석" sheetId="15" r:id="rId7"/>
    <sheet name="고유값고유벡터" sheetId="6" r:id="rId8"/>
    <sheet name="MTS" sheetId="8" r:id="rId9"/>
    <sheet name="MTS (상관행렬)" sheetId="23" r:id="rId10"/>
    <sheet name="단순회귀분석" sheetId="10" r:id="rId11"/>
    <sheet name="다중회귀분석" sheetId="11" r:id="rId12"/>
    <sheet name="PCR" sheetId="12" r:id="rId13"/>
    <sheet name="PLS" sheetId="13" r:id="rId14"/>
    <sheet name="마할라노비스거리계산" sheetId="24" r:id="rId15"/>
  </sheets>
  <calcPr calcId="145621"/>
</workbook>
</file>

<file path=xl/calcChain.xml><?xml version="1.0" encoding="utf-8"?>
<calcChain xmlns="http://schemas.openxmlformats.org/spreadsheetml/2006/main">
  <c r="AD28" i="15" l="1"/>
  <c r="B23" i="15" l="1"/>
  <c r="N114" i="15" l="1"/>
  <c r="M114" i="15"/>
  <c r="L114" i="15"/>
  <c r="K114" i="15"/>
  <c r="J114" i="15"/>
  <c r="I114" i="15"/>
  <c r="H114" i="15"/>
  <c r="G114" i="15"/>
  <c r="F114" i="15"/>
  <c r="E114" i="15"/>
  <c r="D114" i="15"/>
  <c r="C114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AG41" i="16" l="1"/>
  <c r="BA27" i="16" l="1"/>
  <c r="AZ26" i="16"/>
  <c r="AZ21" i="16"/>
  <c r="BA21" i="16"/>
  <c r="BA20" i="16"/>
  <c r="AZ20" i="16"/>
  <c r="H39" i="16" l="1" a="1"/>
  <c r="H39" i="16" s="1"/>
  <c r="H33" i="16" a="1"/>
  <c r="H33" i="16" s="1"/>
  <c r="H26" i="16" a="1"/>
  <c r="H26" i="16" s="1"/>
  <c r="H40" i="16" l="1"/>
  <c r="I34" i="16"/>
  <c r="H34" i="16"/>
  <c r="J34" i="16"/>
  <c r="J33" i="16"/>
  <c r="I35" i="16"/>
  <c r="I33" i="16"/>
  <c r="H35" i="16"/>
  <c r="J35" i="16"/>
  <c r="H27" i="16"/>
  <c r="I27" i="16"/>
  <c r="I26" i="16"/>
  <c r="N23" i="15" l="1"/>
  <c r="M23" i="15"/>
  <c r="L23" i="15"/>
  <c r="K23" i="15"/>
  <c r="J23" i="15"/>
  <c r="I23" i="15"/>
  <c r="H23" i="15"/>
  <c r="G23" i="15"/>
  <c r="F23" i="15"/>
  <c r="E23" i="15"/>
  <c r="D23" i="15"/>
  <c r="C23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B95" i="15" l="1"/>
  <c r="B99" i="15"/>
  <c r="B107" i="15"/>
  <c r="B111" i="15"/>
  <c r="B96" i="15"/>
  <c r="B100" i="15"/>
  <c r="B108" i="15"/>
  <c r="B104" i="15"/>
  <c r="B101" i="15"/>
  <c r="B109" i="15"/>
  <c r="B102" i="15"/>
  <c r="B110" i="15"/>
  <c r="B112" i="15"/>
  <c r="B97" i="15"/>
  <c r="B105" i="15"/>
  <c r="B113" i="15"/>
  <c r="B103" i="15"/>
  <c r="B98" i="15"/>
  <c r="B106" i="15"/>
  <c r="B114" i="15"/>
  <c r="B19" i="13" l="1"/>
  <c r="C19" i="13"/>
  <c r="D19" i="13"/>
  <c r="E19" i="13"/>
  <c r="B20" i="13"/>
  <c r="C20" i="13"/>
  <c r="D20" i="13"/>
  <c r="E20" i="13"/>
  <c r="K76" i="12" l="1"/>
  <c r="J76" i="12"/>
  <c r="I76" i="12"/>
  <c r="I77" i="12" s="1"/>
  <c r="E65" i="12"/>
  <c r="D65" i="12"/>
  <c r="J57" i="12" s="1"/>
  <c r="C65" i="12"/>
  <c r="I61" i="12" s="1"/>
  <c r="B65" i="12"/>
  <c r="H53" i="12" s="1"/>
  <c r="H88" i="12" s="1"/>
  <c r="E64" i="12"/>
  <c r="D64" i="12"/>
  <c r="C64" i="12"/>
  <c r="B64" i="12"/>
  <c r="E18" i="12"/>
  <c r="D18" i="12"/>
  <c r="C18" i="12"/>
  <c r="B18" i="12"/>
  <c r="E17" i="12"/>
  <c r="D17" i="12"/>
  <c r="C17" i="12"/>
  <c r="B17" i="12"/>
  <c r="J54" i="12" l="1"/>
  <c r="J77" i="12"/>
  <c r="K77" i="12" s="1"/>
  <c r="J61" i="12"/>
  <c r="J52" i="12"/>
  <c r="J62" i="12"/>
  <c r="J58" i="12"/>
  <c r="I62" i="12"/>
  <c r="J53" i="12"/>
  <c r="I54" i="12"/>
  <c r="I58" i="12"/>
  <c r="K52" i="12"/>
  <c r="K53" i="12"/>
  <c r="K54" i="12"/>
  <c r="K58" i="12"/>
  <c r="K62" i="12"/>
  <c r="K59" i="12"/>
  <c r="K57" i="12"/>
  <c r="K63" i="12"/>
  <c r="K56" i="12"/>
  <c r="K60" i="12"/>
  <c r="H62" i="12"/>
  <c r="H97" i="12" s="1"/>
  <c r="K61" i="12"/>
  <c r="K55" i="12"/>
  <c r="I53" i="12"/>
  <c r="I57" i="12"/>
  <c r="I59" i="12"/>
  <c r="J63" i="12"/>
  <c r="H52" i="12"/>
  <c r="H56" i="12"/>
  <c r="H91" i="12" s="1"/>
  <c r="H60" i="12"/>
  <c r="H95" i="12" s="1"/>
  <c r="I52" i="12"/>
  <c r="I56" i="12"/>
  <c r="I60" i="12"/>
  <c r="H57" i="12"/>
  <c r="H92" i="12" s="1"/>
  <c r="H61" i="12"/>
  <c r="H96" i="12" s="1"/>
  <c r="H55" i="12"/>
  <c r="H90" i="12" s="1"/>
  <c r="J56" i="12"/>
  <c r="H59" i="12"/>
  <c r="H94" i="12" s="1"/>
  <c r="J60" i="12"/>
  <c r="H63" i="12"/>
  <c r="H98" i="12" s="1"/>
  <c r="I63" i="12"/>
  <c r="I55" i="12"/>
  <c r="H54" i="12"/>
  <c r="H89" i="12" s="1"/>
  <c r="J55" i="12"/>
  <c r="H58" i="12"/>
  <c r="H93" i="12" s="1"/>
  <c r="J59" i="12"/>
  <c r="K70" i="12" l="1"/>
  <c r="K65" i="12"/>
  <c r="K71" i="12"/>
  <c r="K64" i="12"/>
  <c r="J64" i="12"/>
  <c r="J71" i="12"/>
  <c r="J65" i="12"/>
  <c r="I70" i="12"/>
  <c r="I65" i="12"/>
  <c r="I64" i="12"/>
  <c r="K69" i="12"/>
  <c r="J69" i="12"/>
  <c r="I87" i="12" a="1"/>
  <c r="I69" i="12"/>
  <c r="I71" i="12"/>
  <c r="J70" i="12"/>
  <c r="H65" i="12"/>
  <c r="H64" i="12"/>
  <c r="H87" i="12"/>
  <c r="K98" i="12" l="1"/>
  <c r="I96" i="12"/>
  <c r="J93" i="12"/>
  <c r="K90" i="12"/>
  <c r="I88" i="12"/>
  <c r="J98" i="12"/>
  <c r="K95" i="12"/>
  <c r="I93" i="12"/>
  <c r="J90" i="12"/>
  <c r="K87" i="12"/>
  <c r="I98" i="12"/>
  <c r="J95" i="12"/>
  <c r="K92" i="12"/>
  <c r="I90" i="12"/>
  <c r="J87" i="12"/>
  <c r="K97" i="12"/>
  <c r="I95" i="12"/>
  <c r="J92" i="12"/>
  <c r="K89" i="12"/>
  <c r="I87" i="12"/>
  <c r="J97" i="12"/>
  <c r="K94" i="12"/>
  <c r="I92" i="12"/>
  <c r="J89" i="12"/>
  <c r="I97" i="12"/>
  <c r="J94" i="12"/>
  <c r="K91" i="12"/>
  <c r="I89" i="12"/>
  <c r="K96" i="12"/>
  <c r="I94" i="12"/>
  <c r="J91" i="12"/>
  <c r="K88" i="12"/>
  <c r="J96" i="12"/>
  <c r="K93" i="12"/>
  <c r="I91" i="12"/>
  <c r="J88" i="12"/>
  <c r="W25" i="8" l="1"/>
  <c r="H101" i="12" a="1"/>
  <c r="S103" i="12" s="1"/>
  <c r="W24" i="8"/>
  <c r="W26" i="8"/>
  <c r="V25" i="8" l="1"/>
  <c r="V26" i="8"/>
  <c r="V24" i="8"/>
  <c r="V23" i="8"/>
  <c r="W23" i="8"/>
  <c r="M101" i="12"/>
  <c r="N102" i="12"/>
  <c r="I102" i="12"/>
  <c r="I101" i="12"/>
  <c r="R103" i="12"/>
  <c r="M103" i="12"/>
  <c r="O103" i="12"/>
  <c r="M102" i="12"/>
  <c r="K101" i="12"/>
  <c r="P103" i="12"/>
  <c r="J103" i="12"/>
  <c r="S102" i="12"/>
  <c r="L101" i="12"/>
  <c r="N101" i="12"/>
  <c r="H101" i="12"/>
  <c r="I103" i="12"/>
  <c r="S101" i="12"/>
  <c r="O101" i="12"/>
  <c r="K102" i="12"/>
  <c r="Q102" i="12"/>
  <c r="Q101" i="12"/>
  <c r="H102" i="12"/>
  <c r="J102" i="12"/>
  <c r="P101" i="12"/>
  <c r="Q103" i="12"/>
  <c r="O102" i="12"/>
  <c r="P102" i="12"/>
  <c r="R102" i="12"/>
  <c r="L102" i="12"/>
  <c r="J101" i="12"/>
  <c r="K103" i="12"/>
  <c r="L103" i="12"/>
  <c r="N103" i="12"/>
  <c r="H103" i="12"/>
  <c r="R101" i="12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C22" i="5"/>
  <c r="B22" i="5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7" i="4"/>
  <c r="F47" i="4"/>
  <c r="G46" i="4"/>
  <c r="F46" i="4"/>
  <c r="G45" i="4"/>
  <c r="F45" i="4"/>
  <c r="G44" i="4"/>
  <c r="F44" i="4"/>
  <c r="G43" i="4"/>
  <c r="F43" i="4"/>
  <c r="G42" i="4"/>
  <c r="F42" i="4"/>
  <c r="G41" i="4"/>
  <c r="F41" i="4"/>
  <c r="G40" i="4"/>
  <c r="F40" i="4"/>
  <c r="G39" i="4"/>
  <c r="F39" i="4"/>
  <c r="G38" i="4"/>
  <c r="F38" i="4"/>
  <c r="G37" i="4"/>
  <c r="F37" i="4"/>
  <c r="G36" i="4"/>
  <c r="F36" i="4"/>
  <c r="P106" i="12" l="1" a="1"/>
  <c r="P106" i="12" s="1"/>
  <c r="H106" i="12" a="1"/>
  <c r="I107" i="12" s="1"/>
  <c r="P108" i="12"/>
  <c r="E58" i="1"/>
  <c r="E54" i="1"/>
  <c r="G48" i="1"/>
  <c r="F48" i="1"/>
  <c r="E48" i="1"/>
  <c r="G47" i="1"/>
  <c r="F47" i="1"/>
  <c r="E47" i="1"/>
  <c r="G46" i="1"/>
  <c r="F46" i="1"/>
  <c r="E46" i="1"/>
  <c r="P107" i="12" l="1"/>
  <c r="J107" i="12"/>
  <c r="I108" i="12"/>
  <c r="H106" i="12"/>
  <c r="H108" i="12"/>
  <c r="J108" i="12"/>
  <c r="I106" i="12"/>
  <c r="J106" i="12"/>
  <c r="H107" i="12"/>
  <c r="L106" i="12" a="1"/>
  <c r="M107" i="12" l="1"/>
  <c r="L107" i="12"/>
  <c r="N106" i="12"/>
  <c r="M106" i="12"/>
  <c r="N108" i="12"/>
  <c r="L106" i="12"/>
  <c r="M108" i="12"/>
  <c r="L108" i="12"/>
  <c r="N107" i="12"/>
  <c r="S106" i="12" l="1" a="1"/>
  <c r="S108" i="12" l="1"/>
  <c r="S107" i="12"/>
  <c r="S106" i="12"/>
  <c r="K49" i="12" l="1" a="1"/>
  <c r="K49" i="12" s="1"/>
  <c r="E49" i="12" s="1"/>
  <c r="J49" i="12" a="1"/>
  <c r="J49" i="12" s="1"/>
  <c r="D49" i="12" s="1"/>
  <c r="I49" i="12"/>
  <c r="G62" i="12" l="1"/>
  <c r="G54" i="12"/>
  <c r="G58" i="12"/>
  <c r="G63" i="12"/>
  <c r="G59" i="12"/>
  <c r="G55" i="12"/>
  <c r="C49" i="12"/>
  <c r="G60" i="12"/>
  <c r="G52" i="12"/>
  <c r="G56" i="12"/>
  <c r="G61" i="12"/>
  <c r="G57" i="12"/>
  <c r="G53" i="12"/>
  <c r="B49" i="12" l="1"/>
  <c r="A61" i="12" s="1"/>
  <c r="G66" i="12"/>
  <c r="A52" i="12" l="1"/>
  <c r="A54" i="12"/>
  <c r="A58" i="12"/>
  <c r="A62" i="12"/>
  <c r="A60" i="12"/>
  <c r="A56" i="12"/>
  <c r="A55" i="12"/>
  <c r="A53" i="12"/>
  <c r="A66" i="12" s="1"/>
  <c r="A59" i="12"/>
  <c r="A57" i="12"/>
  <c r="A63" i="12"/>
  <c r="H22" i="13" l="1"/>
</calcChain>
</file>

<file path=xl/sharedStrings.xml><?xml version="1.0" encoding="utf-8"?>
<sst xmlns="http://schemas.openxmlformats.org/spreadsheetml/2006/main" count="1468" uniqueCount="561">
  <si>
    <t>표준화전 데이터</t>
    <phoneticPr fontId="1" type="noConversion"/>
  </si>
  <si>
    <t>표준화후 데이터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</si>
  <si>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</si>
  <si>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</si>
  <si>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</si>
  <si>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김선빈</t>
    <phoneticPr fontId="1" type="noConversion"/>
  </si>
  <si>
    <t>박건우</t>
    <phoneticPr fontId="1" type="noConversion"/>
  </si>
  <si>
    <t>순위</t>
  </si>
  <si>
    <t>선수</t>
    <phoneticPr fontId="1" type="noConversion"/>
  </si>
  <si>
    <t>키</t>
    <phoneticPr fontId="1" type="noConversion"/>
  </si>
  <si>
    <t>몸무게</t>
    <phoneticPr fontId="1" type="noConversion"/>
  </si>
  <si>
    <t>안타</t>
  </si>
  <si>
    <t>2타</t>
  </si>
  <si>
    <t>3타</t>
  </si>
  <si>
    <t>홈런</t>
  </si>
  <si>
    <t>타점</t>
  </si>
  <si>
    <t>득점</t>
  </si>
  <si>
    <t>도루</t>
  </si>
  <si>
    <t>사사구</t>
  </si>
  <si>
    <t>삼진</t>
  </si>
  <si>
    <t>타율</t>
  </si>
  <si>
    <t>출루율</t>
  </si>
  <si>
    <t>장타율</t>
  </si>
  <si>
    <t>OPS</t>
  </si>
  <si>
    <t>박민우</t>
    <phoneticPr fontId="1" type="noConversion"/>
  </si>
  <si>
    <t>김선빈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</si>
  <si>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</si>
  <si>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</si>
  <si>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</si>
  <si>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</si>
  <si>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</si>
  <si>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</si>
  <si>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</si>
  <si>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</si>
  <si>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</si>
  <si>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</si>
  <si>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</si>
  <si>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</si>
  <si>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</si>
  <si>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</si>
  <si>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</si>
  <si>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</si>
  <si>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</si>
  <si>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</si>
  <si>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표준편차</t>
    <phoneticPr fontId="1" type="noConversion"/>
  </si>
  <si>
    <t>1시그마</t>
    <phoneticPr fontId="1" type="noConversion"/>
  </si>
  <si>
    <t>2시그마</t>
    <phoneticPr fontId="1" type="noConversion"/>
  </si>
  <si>
    <t>3시그마</t>
    <phoneticPr fontId="1" type="noConversion"/>
  </si>
  <si>
    <t>김선빈</t>
  </si>
  <si>
    <t>박건우</t>
  </si>
  <si>
    <t>박민우</t>
  </si>
  <si>
    <t>나성범</t>
  </si>
  <si>
    <t>박용택</t>
  </si>
  <si>
    <t>최형우</t>
  </si>
  <si>
    <t>김재환</t>
  </si>
  <si>
    <t>로사리오</t>
  </si>
  <si>
    <t>손아섭</t>
  </si>
  <si>
    <t>서건창</t>
  </si>
  <si>
    <t>이명기</t>
  </si>
  <si>
    <t>송광민</t>
  </si>
  <si>
    <t>이정후</t>
  </si>
  <si>
    <t>전준우</t>
  </si>
  <si>
    <t>이대호</t>
  </si>
  <si>
    <t>버나디나</t>
  </si>
  <si>
    <t>최정</t>
  </si>
  <si>
    <t>안치홍</t>
  </si>
  <si>
    <t>러프</t>
  </si>
  <si>
    <t>윤석민</t>
  </si>
  <si>
    <t>모창민</t>
  </si>
  <si>
    <t>고종욱</t>
  </si>
  <si>
    <t>구자욱</t>
  </si>
  <si>
    <t>김주찬</t>
  </si>
  <si>
    <t>오재일</t>
  </si>
  <si>
    <t>유한준</t>
  </si>
  <si>
    <t>민병헌</t>
  </si>
  <si>
    <t>강한울</t>
  </si>
  <si>
    <t>번즈</t>
  </si>
  <si>
    <t>김하성</t>
  </si>
  <si>
    <t>최주환</t>
  </si>
  <si>
    <t>나지완</t>
  </si>
  <si>
    <t>스크럭스</t>
  </si>
  <si>
    <t>에반스</t>
  </si>
  <si>
    <t>김문호</t>
  </si>
  <si>
    <t>나주환</t>
  </si>
  <si>
    <t>최준석</t>
  </si>
  <si>
    <t>권희동</t>
  </si>
  <si>
    <t>강민호</t>
  </si>
  <si>
    <t>하주석</t>
  </si>
  <si>
    <t>중앙값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</si>
  <si>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</si>
  <si>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</si>
  <si>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</si>
  <si>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</si>
  <si>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</si>
  <si>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</si>
  <si>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</si>
  <si>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표준화</t>
    <phoneticPr fontId="1" type="noConversion"/>
  </si>
  <si>
    <t>몸무게 표준화</t>
    <phoneticPr fontId="1" type="noConversion"/>
  </si>
  <si>
    <t>표준화 데이터간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</si>
  <si>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</si>
  <si>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</si>
  <si>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</si>
  <si>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</si>
  <si>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</si>
  <si>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</si>
  <si>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</si>
  <si>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김재환</t>
    <phoneticPr fontId="1" type="noConversion"/>
  </si>
  <si>
    <t>로사리오</t>
    <phoneticPr fontId="1" type="noConversion"/>
  </si>
  <si>
    <t>로사리오</t>
    <phoneticPr fontId="1" type="noConversion"/>
  </si>
  <si>
    <t>손아섭</t>
    <phoneticPr fontId="1" type="noConversion"/>
  </si>
  <si>
    <t>손아섭</t>
    <phoneticPr fontId="1" type="noConversion"/>
  </si>
  <si>
    <t>서건창</t>
    <phoneticPr fontId="1" type="noConversion"/>
  </si>
  <si>
    <t>서건창</t>
    <phoneticPr fontId="1" type="noConversion"/>
  </si>
  <si>
    <t>이명기</t>
    <phoneticPr fontId="1" type="noConversion"/>
  </si>
  <si>
    <t>이명기</t>
    <phoneticPr fontId="1" type="noConversion"/>
  </si>
  <si>
    <t>송광민</t>
    <phoneticPr fontId="1" type="noConversion"/>
  </si>
  <si>
    <t>송광민</t>
    <phoneticPr fontId="1" type="noConversion"/>
  </si>
  <si>
    <t>이정후</t>
    <phoneticPr fontId="1" type="noConversion"/>
  </si>
  <si>
    <t>이정후</t>
    <phoneticPr fontId="1" type="noConversion"/>
  </si>
  <si>
    <t>전준우</t>
    <phoneticPr fontId="1" type="noConversion"/>
  </si>
  <si>
    <t>전준우</t>
    <phoneticPr fontId="1" type="noConversion"/>
  </si>
  <si>
    <t>이대호</t>
    <phoneticPr fontId="1" type="noConversion"/>
  </si>
  <si>
    <t>이대호</t>
    <phoneticPr fontId="1" type="noConversion"/>
  </si>
  <si>
    <t>버나디나</t>
    <phoneticPr fontId="1" type="noConversion"/>
  </si>
  <si>
    <t>버나디나</t>
    <phoneticPr fontId="1" type="noConversion"/>
  </si>
  <si>
    <t>최정</t>
    <phoneticPr fontId="1" type="noConversion"/>
  </si>
  <si>
    <t>최정</t>
    <phoneticPr fontId="1" type="noConversion"/>
  </si>
  <si>
    <t>안치홍</t>
    <phoneticPr fontId="1" type="noConversion"/>
  </si>
  <si>
    <t>안치홍</t>
    <phoneticPr fontId="1" type="noConversion"/>
  </si>
  <si>
    <t>러프</t>
    <phoneticPr fontId="1" type="noConversion"/>
  </si>
  <si>
    <t>러프</t>
    <phoneticPr fontId="1" type="noConversion"/>
  </si>
  <si>
    <t>윤석민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</si>
  <si>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</si>
  <si>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</si>
  <si>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</si>
  <si>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표준편차</t>
    <phoneticPr fontId="1" type="noConversion"/>
  </si>
  <si>
    <t>상관계수</t>
    <phoneticPr fontId="1" type="noConversion"/>
  </si>
  <si>
    <t>상관계수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</si>
  <si>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</si>
  <si>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</si>
  <si>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</si>
  <si>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</si>
  <si>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</si>
  <si>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</si>
  <si>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박용택</t>
    <phoneticPr fontId="1" type="noConversion"/>
  </si>
  <si>
    <t>최형우</t>
    <phoneticPr fontId="1" type="noConversion"/>
  </si>
  <si>
    <t>손아섭</t>
    <phoneticPr fontId="1" type="noConversion"/>
  </si>
  <si>
    <t>서건창</t>
    <phoneticPr fontId="1" type="noConversion"/>
  </si>
  <si>
    <t>이정후</t>
    <phoneticPr fontId="1" type="noConversion"/>
  </si>
  <si>
    <t>러프</t>
    <phoneticPr fontId="1" type="noConversion"/>
  </si>
  <si>
    <t>윤석민</t>
    <phoneticPr fontId="1" type="noConversion"/>
  </si>
  <si>
    <t>선수</t>
    <phoneticPr fontId="1" type="noConversion"/>
  </si>
  <si>
    <t>키</t>
    <phoneticPr fontId="1" type="noConversion"/>
  </si>
  <si>
    <t>몸무게</t>
    <phoneticPr fontId="1" type="noConversion"/>
  </si>
  <si>
    <t>키 편차</t>
    <phoneticPr fontId="1" type="noConversion"/>
  </si>
  <si>
    <t>몸무게 편차</t>
    <phoneticPr fontId="1" type="noConversion"/>
  </si>
  <si>
    <t>편차간 곱</t>
    <phoneticPr fontId="1" type="noConversion"/>
  </si>
  <si>
    <t>김선빈</t>
    <phoneticPr fontId="1" type="noConversion"/>
  </si>
  <si>
    <t>박건우</t>
    <phoneticPr fontId="1" type="noConversion"/>
  </si>
  <si>
    <t>박민우</t>
    <phoneticPr fontId="1" type="noConversion"/>
  </si>
  <si>
    <t>나성범</t>
    <phoneticPr fontId="1" type="noConversion"/>
  </si>
  <si>
    <t>박용택</t>
    <phoneticPr fontId="1" type="noConversion"/>
  </si>
  <si>
    <t>최형우</t>
    <phoneticPr fontId="1" type="noConversion"/>
  </si>
  <si>
    <t>김재환</t>
    <phoneticPr fontId="1" type="noConversion"/>
  </si>
  <si>
    <t>로사리오</t>
    <phoneticPr fontId="1" type="noConversion"/>
  </si>
  <si>
    <t>손아섭</t>
    <phoneticPr fontId="1" type="noConversion"/>
  </si>
  <si>
    <t>서건창</t>
    <phoneticPr fontId="1" type="noConversion"/>
  </si>
  <si>
    <t>이명기</t>
    <phoneticPr fontId="1" type="noConversion"/>
  </si>
  <si>
    <t>송광민</t>
    <phoneticPr fontId="1" type="noConversion"/>
  </si>
  <si>
    <t>이정후</t>
    <phoneticPr fontId="1" type="noConversion"/>
  </si>
  <si>
    <t>전준우</t>
    <phoneticPr fontId="1" type="noConversion"/>
  </si>
  <si>
    <t>이대호</t>
    <phoneticPr fontId="1" type="noConversion"/>
  </si>
  <si>
    <t>버나디나</t>
    <phoneticPr fontId="1" type="noConversion"/>
  </si>
  <si>
    <t>최정</t>
    <phoneticPr fontId="1" type="noConversion"/>
  </si>
  <si>
    <t>안치홍</t>
    <phoneticPr fontId="1" type="noConversion"/>
  </si>
  <si>
    <t>러프</t>
    <phoneticPr fontId="1" type="noConversion"/>
  </si>
  <si>
    <t>윤석민</t>
    <phoneticPr fontId="1" type="noConversion"/>
  </si>
  <si>
    <t>평균</t>
    <phoneticPr fontId="1" type="noConversion"/>
  </si>
  <si>
    <t>편차간 곱의 합</t>
    <phoneticPr fontId="1" type="noConversion"/>
  </si>
  <si>
    <t>공분산</t>
    <phoneticPr fontId="1" type="noConversion"/>
  </si>
  <si>
    <t>COVARIANCE.S</t>
    <phoneticPr fontId="1" type="noConversion"/>
  </si>
  <si>
    <t>선수</t>
    <phoneticPr fontId="1" type="noConversion"/>
  </si>
  <si>
    <t>키(cm)</t>
    <phoneticPr fontId="1" type="noConversion"/>
  </si>
  <si>
    <t>몸무게(Kg)</t>
    <phoneticPr fontId="1" type="noConversion"/>
  </si>
  <si>
    <t>키(m)</t>
    <phoneticPr fontId="1" type="noConversion"/>
  </si>
  <si>
    <t>몸무게(g)</t>
    <phoneticPr fontId="1" type="noConversion"/>
  </si>
  <si>
    <t>김선빈</t>
    <phoneticPr fontId="1" type="noConversion"/>
  </si>
  <si>
    <t>박건우</t>
    <phoneticPr fontId="1" type="noConversion"/>
  </si>
  <si>
    <t>송광민</t>
    <phoneticPr fontId="1" type="noConversion"/>
  </si>
  <si>
    <t>이대호</t>
    <phoneticPr fontId="1" type="noConversion"/>
  </si>
  <si>
    <t>공분산</t>
    <phoneticPr fontId="1" type="noConversion"/>
  </si>
  <si>
    <t>2루타</t>
  </si>
  <si>
    <t>3루타</t>
  </si>
  <si>
    <t>PC1</t>
  </si>
  <si>
    <t>PC2</t>
  </si>
  <si>
    <t>PC3</t>
  </si>
  <si>
    <t>평균</t>
    <phoneticPr fontId="1" type="noConversion"/>
  </si>
  <si>
    <t>상관행렬</t>
    <phoneticPr fontId="1" type="noConversion"/>
  </si>
  <si>
    <t>고유값</t>
    <phoneticPr fontId="1" type="noConversion"/>
  </si>
  <si>
    <t>고유값</t>
  </si>
  <si>
    <t>기준 데이터</t>
    <phoneticPr fontId="1" type="noConversion"/>
  </si>
  <si>
    <t>표준화 데이터</t>
    <phoneticPr fontId="1" type="noConversion"/>
  </si>
  <si>
    <t>상관행렬</t>
    <phoneticPr fontId="1" type="noConversion"/>
  </si>
  <si>
    <t>좌표 변환</t>
    <phoneticPr fontId="1" type="noConversion"/>
  </si>
  <si>
    <t>MD 계산</t>
    <phoneticPr fontId="1" type="noConversion"/>
  </si>
  <si>
    <t>MD값의 통계값</t>
    <phoneticPr fontId="1" type="noConversion"/>
  </si>
  <si>
    <t>기온</t>
    <phoneticPr fontId="1" type="noConversion"/>
  </si>
  <si>
    <t>습도</t>
  </si>
  <si>
    <t>MD</t>
    <phoneticPr fontId="1" type="noConversion"/>
  </si>
  <si>
    <t>MAX</t>
    <phoneticPr fontId="1" type="noConversion"/>
  </si>
  <si>
    <t>2001년</t>
  </si>
  <si>
    <t>평균</t>
    <phoneticPr fontId="1" type="noConversion"/>
  </si>
  <si>
    <t>2017년6월</t>
    <phoneticPr fontId="1" type="noConversion"/>
  </si>
  <si>
    <t>비정상</t>
    <phoneticPr fontId="1" type="noConversion"/>
  </si>
  <si>
    <t>2002년</t>
  </si>
  <si>
    <t>표준편차</t>
    <phoneticPr fontId="1" type="noConversion"/>
  </si>
  <si>
    <t>2017년7월</t>
    <phoneticPr fontId="1" type="noConversion"/>
  </si>
  <si>
    <t>2003년</t>
  </si>
  <si>
    <t>2017년8월</t>
    <phoneticPr fontId="1" type="noConversion"/>
  </si>
  <si>
    <t>정상</t>
    <phoneticPr fontId="1" type="noConversion"/>
  </si>
  <si>
    <t>2004년</t>
  </si>
  <si>
    <t>2017년9월</t>
    <phoneticPr fontId="1" type="noConversion"/>
  </si>
  <si>
    <t>2005년</t>
  </si>
  <si>
    <t>2006년</t>
  </si>
  <si>
    <t>기온</t>
  </si>
  <si>
    <t>2007년</t>
  </si>
  <si>
    <t>2008년</t>
  </si>
  <si>
    <t>2009년</t>
  </si>
  <si>
    <t>2010년</t>
  </si>
  <si>
    <t>2011년</t>
  </si>
  <si>
    <t>2012년</t>
  </si>
  <si>
    <t>2013년</t>
  </si>
  <si>
    <t>표준화된 고유벡터</t>
    <phoneticPr fontId="1" type="noConversion"/>
  </si>
  <si>
    <t>2015년</t>
  </si>
  <si>
    <t>2016년</t>
  </si>
  <si>
    <t>판단</t>
    <phoneticPr fontId="1" type="noConversion"/>
  </si>
  <si>
    <t>6월</t>
  </si>
  <si>
    <t>7월</t>
  </si>
  <si>
    <t>8월</t>
  </si>
  <si>
    <t>9월</t>
  </si>
  <si>
    <t>표준화 데이터(Z)</t>
    <phoneticPr fontId="1" type="noConversion"/>
  </si>
  <si>
    <t>상관행렬(R)</t>
    <phoneticPr fontId="1" type="noConversion"/>
  </si>
  <si>
    <t>ZR-1</t>
    <phoneticPr fontId="1" type="noConversion"/>
  </si>
  <si>
    <t>ZR-1Z'</t>
    <phoneticPr fontId="1" type="noConversion"/>
  </si>
  <si>
    <t>표준편차</t>
    <phoneticPr fontId="1" type="noConversion"/>
  </si>
  <si>
    <t>가게 면적 (x)</t>
    <phoneticPr fontId="1" type="noConversion"/>
  </si>
  <si>
    <t>(예측-실제값)의 제곱</t>
    <phoneticPr fontId="1" type="noConversion"/>
  </si>
  <si>
    <t>평균</t>
    <phoneticPr fontId="1" type="noConversion"/>
  </si>
  <si>
    <t>분산</t>
    <phoneticPr fontId="1" type="noConversion"/>
  </si>
  <si>
    <t>공분산</t>
    <phoneticPr fontId="1" type="noConversion"/>
  </si>
  <si>
    <t>기울기 (a)</t>
    <phoneticPr fontId="1" type="noConversion"/>
  </si>
  <si>
    <t>y절편  (b)</t>
    <phoneticPr fontId="1" type="noConversion"/>
  </si>
  <si>
    <t>결정계수(R2)</t>
    <phoneticPr fontId="1" type="noConversion"/>
  </si>
  <si>
    <t>a0</t>
    <phoneticPr fontId="1" type="noConversion"/>
  </si>
  <si>
    <t>a1</t>
  </si>
  <si>
    <t>a2</t>
  </si>
  <si>
    <t>a3</t>
  </si>
  <si>
    <t>Y 예측</t>
    <phoneticPr fontId="1" type="noConversion"/>
  </si>
  <si>
    <t>Y</t>
    <phoneticPr fontId="1" type="noConversion"/>
  </si>
  <si>
    <t>X</t>
    <phoneticPr fontId="1" type="noConversion"/>
  </si>
  <si>
    <t>X'</t>
    <phoneticPr fontId="1" type="noConversion"/>
  </si>
  <si>
    <t>상수</t>
    <phoneticPr fontId="1" type="noConversion"/>
  </si>
  <si>
    <t>가게 면적</t>
    <phoneticPr fontId="1" type="noConversion"/>
  </si>
  <si>
    <t>지하철역과의 거리</t>
  </si>
  <si>
    <t>X'X</t>
    <phoneticPr fontId="1" type="noConversion"/>
  </si>
  <si>
    <t>(X'X)-1</t>
    <phoneticPr fontId="1" type="noConversion"/>
  </si>
  <si>
    <t>X'Y</t>
    <phoneticPr fontId="1" type="noConversion"/>
  </si>
  <si>
    <t>(X'X)-1X'Y</t>
    <phoneticPr fontId="1" type="noConversion"/>
  </si>
  <si>
    <t>a0</t>
    <phoneticPr fontId="1" type="noConversion"/>
  </si>
  <si>
    <t>상관계수</t>
    <phoneticPr fontId="1" type="noConversion"/>
  </si>
  <si>
    <t>a1</t>
    <phoneticPr fontId="1" type="noConversion"/>
  </si>
  <si>
    <t>a2</t>
    <phoneticPr fontId="1" type="noConversion"/>
  </si>
  <si>
    <t>a3</t>
    <phoneticPr fontId="1" type="noConversion"/>
  </si>
  <si>
    <t>표준화 회귀계수</t>
    <phoneticPr fontId="1" type="noConversion"/>
  </si>
  <si>
    <t>상관행렬</t>
    <phoneticPr fontId="1" type="noConversion"/>
  </si>
  <si>
    <t>Y 예측</t>
    <phoneticPr fontId="1" type="noConversion"/>
  </si>
  <si>
    <t>Y 예측</t>
    <phoneticPr fontId="1" type="noConversion"/>
  </si>
  <si>
    <t>Y</t>
    <phoneticPr fontId="1" type="noConversion"/>
  </si>
  <si>
    <t>Y</t>
    <phoneticPr fontId="1" type="noConversion"/>
  </si>
  <si>
    <t>X</t>
    <phoneticPr fontId="1" type="noConversion"/>
  </si>
  <si>
    <t>표준화</t>
    <phoneticPr fontId="1" type="noConversion"/>
  </si>
  <si>
    <t>표준화</t>
    <phoneticPr fontId="1" type="noConversion"/>
  </si>
  <si>
    <t>Za1</t>
    <phoneticPr fontId="1" type="noConversion"/>
  </si>
  <si>
    <t>가게 면적</t>
    <phoneticPr fontId="1" type="noConversion"/>
  </si>
  <si>
    <t>Za2</t>
    <phoneticPr fontId="1" type="noConversion"/>
  </si>
  <si>
    <t>Za3</t>
    <phoneticPr fontId="1" type="noConversion"/>
  </si>
  <si>
    <t>기여율</t>
    <phoneticPr fontId="1" type="noConversion"/>
  </si>
  <si>
    <t>누적기여율</t>
    <phoneticPr fontId="1" type="noConversion"/>
  </si>
  <si>
    <t>고유벡터</t>
    <phoneticPr fontId="1" type="noConversion"/>
  </si>
  <si>
    <t>변환좌표</t>
    <phoneticPr fontId="1" type="noConversion"/>
  </si>
  <si>
    <t>P'</t>
    <phoneticPr fontId="1" type="noConversion"/>
  </si>
  <si>
    <t>P'P</t>
    <phoneticPr fontId="1" type="noConversion"/>
  </si>
  <si>
    <t>(P'P)-1</t>
    <phoneticPr fontId="1" type="noConversion"/>
  </si>
  <si>
    <t>P'Y</t>
    <phoneticPr fontId="1" type="noConversion"/>
  </si>
  <si>
    <t>(P'P)-1P'Y</t>
    <phoneticPr fontId="1" type="noConversion"/>
  </si>
  <si>
    <t>b1</t>
    <phoneticPr fontId="1" type="noConversion"/>
  </si>
  <si>
    <t>b2</t>
    <phoneticPr fontId="1" type="noConversion"/>
  </si>
  <si>
    <t>B0</t>
    <phoneticPr fontId="1" type="noConversion"/>
  </si>
  <si>
    <t>B1</t>
    <phoneticPr fontId="1" type="noConversion"/>
  </si>
  <si>
    <t>B2</t>
    <phoneticPr fontId="1" type="noConversion"/>
  </si>
  <si>
    <t>B3</t>
    <phoneticPr fontId="1" type="noConversion"/>
  </si>
  <si>
    <t>누적기여율</t>
    <phoneticPr fontId="1" type="noConversion"/>
  </si>
  <si>
    <t>고유벡터</t>
    <phoneticPr fontId="1" type="noConversion"/>
  </si>
  <si>
    <t>가게 면적</t>
    <phoneticPr fontId="1" type="noConversion"/>
  </si>
  <si>
    <t>변환좌표</t>
    <phoneticPr fontId="1" type="noConversion"/>
  </si>
  <si>
    <t>b3</t>
  </si>
  <si>
    <t>표준화 회귀계수</t>
    <phoneticPr fontId="1" type="noConversion"/>
  </si>
  <si>
    <t>가게 면적</t>
  </si>
  <si>
    <t>a0</t>
    <phoneticPr fontId="1" type="noConversion"/>
  </si>
  <si>
    <t>Y 예측</t>
    <phoneticPr fontId="1" type="noConversion"/>
  </si>
  <si>
    <t>Y</t>
    <phoneticPr fontId="1" type="noConversion"/>
  </si>
  <si>
    <t>표준화</t>
    <phoneticPr fontId="1" type="noConversion"/>
  </si>
  <si>
    <t>가게 면적</t>
    <phoneticPr fontId="1" type="noConversion"/>
  </si>
  <si>
    <t>X'Y</t>
  </si>
  <si>
    <t>W1</t>
    <phoneticPr fontId="1" type="noConversion"/>
  </si>
  <si>
    <t>t1</t>
    <phoneticPr fontId="1" type="noConversion"/>
  </si>
  <si>
    <t>X't1</t>
    <phoneticPr fontId="1" type="noConversion"/>
  </si>
  <si>
    <t>p1</t>
    <phoneticPr fontId="1" type="noConversion"/>
  </si>
  <si>
    <t>Y't1</t>
    <phoneticPr fontId="1" type="noConversion"/>
  </si>
  <si>
    <t>q1</t>
    <phoneticPr fontId="1" type="noConversion"/>
  </si>
  <si>
    <t>||X'Y||</t>
  </si>
  <si>
    <t>t1't1</t>
    <phoneticPr fontId="1" type="noConversion"/>
  </si>
  <si>
    <t>p1'</t>
    <phoneticPr fontId="1" type="noConversion"/>
  </si>
  <si>
    <t>평균</t>
    <phoneticPr fontId="1" type="noConversion"/>
  </si>
  <si>
    <t>표준편차</t>
    <phoneticPr fontId="1" type="noConversion"/>
  </si>
  <si>
    <t>t1q1'</t>
    <phoneticPr fontId="1" type="noConversion"/>
  </si>
  <si>
    <t>t1p1'</t>
    <phoneticPr fontId="1" type="noConversion"/>
  </si>
  <si>
    <t>Ey1</t>
    <phoneticPr fontId="1" type="noConversion"/>
  </si>
  <si>
    <t>Ex1</t>
    <phoneticPr fontId="1" type="noConversion"/>
  </si>
  <si>
    <t>상관계수</t>
    <phoneticPr fontId="1" type="noConversion"/>
  </si>
  <si>
    <t>W1</t>
    <phoneticPr fontId="1" type="noConversion"/>
  </si>
  <si>
    <t>W2</t>
    <phoneticPr fontId="1" type="noConversion"/>
  </si>
  <si>
    <t>W3</t>
    <phoneticPr fontId="1" type="noConversion"/>
  </si>
  <si>
    <t>t1</t>
    <phoneticPr fontId="1" type="noConversion"/>
  </si>
  <si>
    <t>t2</t>
  </si>
  <si>
    <t>t3</t>
  </si>
  <si>
    <t>(Ey1)'</t>
    <phoneticPr fontId="1" type="noConversion"/>
  </si>
  <si>
    <t>(Ex1)'</t>
    <phoneticPr fontId="1" type="noConversion"/>
  </si>
  <si>
    <t>W2</t>
    <phoneticPr fontId="1" type="noConversion"/>
  </si>
  <si>
    <t>t2</t>
    <phoneticPr fontId="1" type="noConversion"/>
  </si>
  <si>
    <t>X't2</t>
    <phoneticPr fontId="1" type="noConversion"/>
  </si>
  <si>
    <t>p2</t>
    <phoneticPr fontId="1" type="noConversion"/>
  </si>
  <si>
    <t>y't2</t>
    <phoneticPr fontId="1" type="noConversion"/>
  </si>
  <si>
    <t>q2</t>
    <phoneticPr fontId="1" type="noConversion"/>
  </si>
  <si>
    <t>T'</t>
    <phoneticPr fontId="1" type="noConversion"/>
  </si>
  <si>
    <t>t1</t>
  </si>
  <si>
    <t>t2't2</t>
    <phoneticPr fontId="1" type="noConversion"/>
  </si>
  <si>
    <t>p2'</t>
    <phoneticPr fontId="1" type="noConversion"/>
  </si>
  <si>
    <t>T'T</t>
    <phoneticPr fontId="1" type="noConversion"/>
  </si>
  <si>
    <t>(T'T)-1</t>
    <phoneticPr fontId="1" type="noConversion"/>
  </si>
  <si>
    <t>T'Y</t>
    <phoneticPr fontId="1" type="noConversion"/>
  </si>
  <si>
    <t>(T'T)-1T'Y</t>
    <phoneticPr fontId="1" type="noConversion"/>
  </si>
  <si>
    <t>B1</t>
    <phoneticPr fontId="1" type="noConversion"/>
  </si>
  <si>
    <t>B2</t>
  </si>
  <si>
    <t>t2q2'</t>
    <phoneticPr fontId="1" type="noConversion"/>
  </si>
  <si>
    <t>t2p2'</t>
    <phoneticPr fontId="1" type="noConversion"/>
  </si>
  <si>
    <t>Ey2</t>
    <phoneticPr fontId="1" type="noConversion"/>
  </si>
  <si>
    <t>Ex2</t>
    <phoneticPr fontId="1" type="noConversion"/>
  </si>
  <si>
    <t>(Ey2)'</t>
    <phoneticPr fontId="1" type="noConversion"/>
  </si>
  <si>
    <t>(Ex2)'</t>
    <phoneticPr fontId="1" type="noConversion"/>
  </si>
  <si>
    <t>t3</t>
    <phoneticPr fontId="1" type="noConversion"/>
  </si>
  <si>
    <t>X't3</t>
    <phoneticPr fontId="1" type="noConversion"/>
  </si>
  <si>
    <t>p3</t>
    <phoneticPr fontId="1" type="noConversion"/>
  </si>
  <si>
    <t>y't3</t>
    <phoneticPr fontId="1" type="noConversion"/>
  </si>
  <si>
    <t>q3</t>
    <phoneticPr fontId="1" type="noConversion"/>
  </si>
  <si>
    <t>t3't3</t>
    <phoneticPr fontId="1" type="noConversion"/>
  </si>
  <si>
    <t>p3'</t>
    <phoneticPr fontId="1" type="noConversion"/>
  </si>
  <si>
    <t>t3q3'</t>
    <phoneticPr fontId="1" type="noConversion"/>
  </si>
  <si>
    <t>t3p3'</t>
    <phoneticPr fontId="1" type="noConversion"/>
  </si>
  <si>
    <t>Ey3</t>
    <phoneticPr fontId="1" type="noConversion"/>
  </si>
  <si>
    <t>Ex3</t>
    <phoneticPr fontId="1" type="noConversion"/>
  </si>
  <si>
    <t>[[</t>
  </si>
  <si>
    <t>선수</t>
    <phoneticPr fontId="1" type="noConversion"/>
  </si>
  <si>
    <t>2루타</t>
    <phoneticPr fontId="1" type="noConversion"/>
  </si>
  <si>
    <t>3루타</t>
    <phoneticPr fontId="1" type="noConversion"/>
  </si>
  <si>
    <t>평균</t>
    <phoneticPr fontId="1" type="noConversion"/>
  </si>
  <si>
    <t>표준편차</t>
    <phoneticPr fontId="1" type="noConversion"/>
  </si>
  <si>
    <t>표준화 데이터</t>
    <phoneticPr fontId="1" type="noConversion"/>
  </si>
  <si>
    <t>PC4</t>
  </si>
  <si>
    <t>PC5</t>
  </si>
  <si>
    <t>PC6</t>
  </si>
  <si>
    <t>PC7</t>
  </si>
  <si>
    <t>PC8</t>
  </si>
  <si>
    <t>PC9</t>
  </si>
  <si>
    <t>PC10</t>
  </si>
  <si>
    <t>PC11</t>
  </si>
  <si>
    <t>PC12</t>
  </si>
  <si>
    <t>PC13</t>
  </si>
  <si>
    <t>분산</t>
    <phoneticPr fontId="1" type="noConversion"/>
  </si>
  <si>
    <t>상관행렬</t>
    <phoneticPr fontId="1" type="noConversion"/>
  </si>
  <si>
    <t>원래 데이터와 주성분의 상관행렬</t>
    <phoneticPr fontId="1" type="noConversion"/>
  </si>
  <si>
    <t>고유벡터</t>
  </si>
  <si>
    <t>고유값</t>
    <phoneticPr fontId="1" type="noConversion"/>
  </si>
  <si>
    <t>기여율</t>
  </si>
  <si>
    <t>누적기여율</t>
  </si>
  <si>
    <t>합계</t>
    <phoneticPr fontId="1" type="noConversion"/>
  </si>
  <si>
    <t>A</t>
    <phoneticPr fontId="1" type="noConversion"/>
  </si>
  <si>
    <t>B</t>
    <phoneticPr fontId="1" type="noConversion"/>
  </si>
  <si>
    <t>덧셈</t>
    <phoneticPr fontId="1" type="noConversion"/>
  </si>
  <si>
    <t>뺄셈</t>
    <phoneticPr fontId="1" type="noConversion"/>
  </si>
  <si>
    <t>+</t>
    <phoneticPr fontId="1" type="noConversion"/>
  </si>
  <si>
    <t>=</t>
    <phoneticPr fontId="1" type="noConversion"/>
  </si>
  <si>
    <t>A+B</t>
    <phoneticPr fontId="1" type="noConversion"/>
  </si>
  <si>
    <t>BA</t>
    <phoneticPr fontId="1" type="noConversion"/>
  </si>
  <si>
    <t>C</t>
    <phoneticPr fontId="1" type="noConversion"/>
  </si>
  <si>
    <t>(AB)C</t>
    <phoneticPr fontId="1" type="noConversion"/>
  </si>
  <si>
    <t>A(BC)</t>
    <phoneticPr fontId="1" type="noConversion"/>
  </si>
  <si>
    <t>(AB)</t>
    <phoneticPr fontId="1" type="noConversion"/>
  </si>
  <si>
    <t>(BC)</t>
    <phoneticPr fontId="1" type="noConversion"/>
  </si>
  <si>
    <t>AB</t>
    <phoneticPr fontId="1" type="noConversion"/>
  </si>
  <si>
    <t>(B+C)</t>
    <phoneticPr fontId="1" type="noConversion"/>
  </si>
  <si>
    <t>A(B+C)</t>
    <phoneticPr fontId="1" type="noConversion"/>
  </si>
  <si>
    <t>AC</t>
    <phoneticPr fontId="1" type="noConversion"/>
  </si>
  <si>
    <t>AB+AC</t>
    <phoneticPr fontId="1" type="noConversion"/>
  </si>
  <si>
    <t>(A+B)</t>
    <phoneticPr fontId="1" type="noConversion"/>
  </si>
  <si>
    <t>(A+B)C</t>
    <phoneticPr fontId="1" type="noConversion"/>
  </si>
  <si>
    <t>BC</t>
    <phoneticPr fontId="1" type="noConversion"/>
  </si>
  <si>
    <t>AC+BC</t>
    <phoneticPr fontId="1" type="noConversion"/>
  </si>
  <si>
    <t>분배법칙</t>
    <phoneticPr fontId="1" type="noConversion"/>
  </si>
  <si>
    <t>결합법칙</t>
    <phoneticPr fontId="1" type="noConversion"/>
  </si>
  <si>
    <t>교환법칙</t>
    <phoneticPr fontId="1" type="noConversion"/>
  </si>
  <si>
    <t>전치행렬</t>
    <phoneticPr fontId="1" type="noConversion"/>
  </si>
  <si>
    <t>A'</t>
    <phoneticPr fontId="1" type="noConversion"/>
  </si>
  <si>
    <t>행렬 연산</t>
    <phoneticPr fontId="1" type="noConversion"/>
  </si>
  <si>
    <t>행렬 곱셈</t>
    <phoneticPr fontId="1" type="noConversion"/>
  </si>
  <si>
    <t>행렬 차원 오류</t>
    <phoneticPr fontId="1" type="noConversion"/>
  </si>
  <si>
    <t>넓게 선택</t>
    <phoneticPr fontId="1" type="noConversion"/>
  </si>
  <si>
    <t>좁게 선택</t>
    <phoneticPr fontId="1" type="noConversion"/>
  </si>
  <si>
    <t>역행렬</t>
    <phoneticPr fontId="1" type="noConversion"/>
  </si>
  <si>
    <t>B(A의 역행렬)</t>
    <phoneticPr fontId="1" type="noConversion"/>
  </si>
  <si>
    <t>A의 역행렬</t>
    <phoneticPr fontId="1" type="noConversion"/>
  </si>
  <si>
    <t>A의 역행렬의 역행렬</t>
    <phoneticPr fontId="1" type="noConversion"/>
  </si>
  <si>
    <t>AB의 역행렬</t>
    <phoneticPr fontId="1" type="noConversion"/>
  </si>
  <si>
    <t>B의 역행렬</t>
    <phoneticPr fontId="1" type="noConversion"/>
  </si>
  <si>
    <t>역행렬이 존재하지 않는 행렬</t>
    <phoneticPr fontId="1" type="noConversion"/>
  </si>
  <si>
    <t>연립방정식</t>
    <phoneticPr fontId="1" type="noConversion"/>
  </si>
  <si>
    <t>Y</t>
    <phoneticPr fontId="1" type="noConversion"/>
  </si>
  <si>
    <t>A의 역행렬</t>
    <phoneticPr fontId="1" type="noConversion"/>
  </si>
  <si>
    <t>X</t>
    <phoneticPr fontId="1" type="noConversion"/>
  </si>
  <si>
    <t>x</t>
    <phoneticPr fontId="1" type="noConversion"/>
  </si>
  <si>
    <t>y</t>
    <phoneticPr fontId="1" type="noConversion"/>
  </si>
  <si>
    <t>2배 확대</t>
    <phoneticPr fontId="1" type="noConversion"/>
  </si>
  <si>
    <t>확대후 좌표</t>
    <phoneticPr fontId="1" type="noConversion"/>
  </si>
  <si>
    <t>1/2배 축소</t>
    <phoneticPr fontId="1" type="noConversion"/>
  </si>
  <si>
    <t>축소후 좌표</t>
    <phoneticPr fontId="1" type="noConversion"/>
  </si>
  <si>
    <t>시계방향 45도</t>
    <phoneticPr fontId="1" type="noConversion"/>
  </si>
  <si>
    <t>변환 후 좌표</t>
    <phoneticPr fontId="1" type="noConversion"/>
  </si>
  <si>
    <t>반시계방향 30도</t>
    <phoneticPr fontId="1" type="noConversion"/>
  </si>
  <si>
    <t>반시계방향 30도의 역행렬</t>
    <phoneticPr fontId="1" type="noConversion"/>
  </si>
  <si>
    <t>분산</t>
    <phoneticPr fontId="1" type="noConversion"/>
  </si>
  <si>
    <t>이동 행렬</t>
    <phoneticPr fontId="1" type="noConversion"/>
  </si>
  <si>
    <t>이동 후 좌표</t>
    <phoneticPr fontId="1" type="noConversion"/>
  </si>
  <si>
    <t>Zx'</t>
    <phoneticPr fontId="1" type="noConversion"/>
  </si>
  <si>
    <t>Zx</t>
    <phoneticPr fontId="1" type="noConversion"/>
  </si>
  <si>
    <t>행렬분산</t>
    <phoneticPr fontId="1" type="noConversion"/>
  </si>
  <si>
    <t>행렬 분산 계산</t>
    <phoneticPr fontId="1" type="noConversion"/>
  </si>
  <si>
    <t>VAR.S  분산</t>
    <phoneticPr fontId="1" type="noConversion"/>
  </si>
  <si>
    <t>상관행렬 계산</t>
    <phoneticPr fontId="1" type="noConversion"/>
  </si>
  <si>
    <t>전치행렬</t>
    <phoneticPr fontId="1" type="noConversion"/>
  </si>
  <si>
    <t>엑셀 함수 상관행렬</t>
    <phoneticPr fontId="1" type="noConversion"/>
  </si>
  <si>
    <t>행렬 상관행렬</t>
    <phoneticPr fontId="1" type="noConversion"/>
  </si>
  <si>
    <t>선수</t>
  </si>
  <si>
    <t>표준화 데이터 전치행렬</t>
    <phoneticPr fontId="1" type="noConversion"/>
  </si>
  <si>
    <t xml:space="preserve"> 행렬로 계산한 상관행렬</t>
    <phoneticPr fontId="1" type="noConversion"/>
  </si>
  <si>
    <t>상관행렬(R)</t>
  </si>
  <si>
    <t>실제 데이터</t>
    <phoneticPr fontId="1" type="noConversion"/>
  </si>
  <si>
    <t>실제 데이터 표준화</t>
    <phoneticPr fontId="1" type="noConversion"/>
  </si>
  <si>
    <t>단변량오류</t>
    <phoneticPr fontId="1" type="noConversion"/>
  </si>
  <si>
    <t>상관관계 오류</t>
    <phoneticPr fontId="1" type="noConversion"/>
  </si>
  <si>
    <t>판단</t>
    <phoneticPr fontId="1" type="noConversion"/>
  </si>
  <si>
    <t>오류내용</t>
    <phoneticPr fontId="1" type="noConversion"/>
  </si>
  <si>
    <t>Class</t>
  </si>
  <si>
    <t>Class</t>
    <phoneticPr fontId="1" type="noConversion"/>
  </si>
  <si>
    <t>머리둘레</t>
  </si>
  <si>
    <t>몸통길이</t>
  </si>
  <si>
    <t>꼬리길이</t>
  </si>
  <si>
    <t>dog</t>
  </si>
  <si>
    <t>cat</t>
  </si>
  <si>
    <t>rabbit</t>
  </si>
  <si>
    <t>평균</t>
    <phoneticPr fontId="1" type="noConversion"/>
  </si>
  <si>
    <t>표준편차</t>
    <phoneticPr fontId="1" type="noConversion"/>
  </si>
  <si>
    <t>기준 데이터 : 개</t>
    <phoneticPr fontId="1" type="noConversion"/>
  </si>
  <si>
    <t>기준 데이터 : 고양이</t>
    <phoneticPr fontId="1" type="noConversion"/>
  </si>
  <si>
    <t>표준화 데이터 전치 행렬 (Z')</t>
    <phoneticPr fontId="1" type="noConversion"/>
  </si>
  <si>
    <t>상관행렬 역행렬 (R-1)</t>
    <phoneticPr fontId="1" type="noConversion"/>
  </si>
  <si>
    <t>dog</t>
    <phoneticPr fontId="1" type="noConversion"/>
  </si>
  <si>
    <t>not dog</t>
  </si>
  <si>
    <t>not dog</t>
    <phoneticPr fontId="1" type="noConversion"/>
  </si>
  <si>
    <t>cat</t>
    <phoneticPr fontId="1" type="noConversion"/>
  </si>
  <si>
    <t>not cat</t>
  </si>
  <si>
    <t>not cat</t>
    <phoneticPr fontId="1" type="noConversion"/>
  </si>
  <si>
    <t>판정</t>
    <phoneticPr fontId="1" type="noConversion"/>
  </si>
  <si>
    <t>MD2</t>
    <phoneticPr fontId="1" type="noConversion"/>
  </si>
  <si>
    <t>MD2</t>
    <phoneticPr fontId="1" type="noConversion"/>
  </si>
  <si>
    <t>개의 MD2</t>
    <phoneticPr fontId="1" type="noConversion"/>
  </si>
  <si>
    <t>판정 결과</t>
    <phoneticPr fontId="1" type="noConversion"/>
  </si>
  <si>
    <t>고양이의 MD2</t>
    <phoneticPr fontId="1" type="noConversion"/>
  </si>
  <si>
    <t>최종판정결과</t>
    <phoneticPr fontId="1" type="noConversion"/>
  </si>
  <si>
    <t>not dog, not cat</t>
    <phoneticPr fontId="1" type="noConversion"/>
  </si>
  <si>
    <t>시그마 yx</t>
    <phoneticPr fontId="1" type="noConversion"/>
  </si>
  <si>
    <t>시그마 xx</t>
    <phoneticPr fontId="1" type="noConversion"/>
  </si>
  <si>
    <t>분산</t>
    <phoneticPr fontId="1" type="noConversion"/>
  </si>
  <si>
    <t>상관계수</t>
    <phoneticPr fontId="1" type="noConversion"/>
  </si>
  <si>
    <t>RMS</t>
    <phoneticPr fontId="1" type="noConversion"/>
  </si>
  <si>
    <t>Stage 1</t>
    <phoneticPr fontId="1" type="noConversion"/>
  </si>
  <si>
    <t>Stage 2</t>
    <phoneticPr fontId="1" type="noConversion"/>
  </si>
  <si>
    <t>Stage 3</t>
    <phoneticPr fontId="1" type="noConversion"/>
  </si>
  <si>
    <t>W3</t>
    <phoneticPr fontId="1" type="noConversion"/>
  </si>
  <si>
    <t>주성분 점수</t>
    <phoneticPr fontId="1" type="noConversion"/>
  </si>
  <si>
    <t>일일 평균 손님수 (Y)</t>
  </si>
  <si>
    <t>시그마 yx</t>
    <phoneticPr fontId="1" type="noConversion"/>
  </si>
  <si>
    <t>40*시그마 x</t>
    <phoneticPr fontId="1" type="noConversion"/>
  </si>
  <si>
    <t>시그마 xx</t>
    <phoneticPr fontId="1" type="noConversion"/>
  </si>
  <si>
    <t>기울기 (a)</t>
    <phoneticPr fontId="1" type="noConversion"/>
  </si>
  <si>
    <t>y 절편</t>
    <phoneticPr fontId="1" type="noConversion"/>
  </si>
  <si>
    <t xml:space="preserve">일일 평균 손님수 (예측) </t>
    <phoneticPr fontId="1" type="noConversion"/>
  </si>
  <si>
    <t>Y 예측</t>
    <phoneticPr fontId="1" type="noConversion"/>
  </si>
  <si>
    <t>Y</t>
    <phoneticPr fontId="1" type="noConversion"/>
  </si>
  <si>
    <t>X</t>
    <phoneticPr fontId="1" type="noConversion"/>
  </si>
  <si>
    <t>상수</t>
    <phoneticPr fontId="1" type="noConversion"/>
  </si>
  <si>
    <t>가게 면적</t>
    <phoneticPr fontId="1" type="noConversion"/>
  </si>
  <si>
    <t>지하철역과의 거리</t>
    <phoneticPr fontId="1" type="noConversion"/>
  </si>
  <si>
    <t>기온</t>
    <phoneticPr fontId="1" type="noConversion"/>
  </si>
  <si>
    <t>dm1</t>
    <phoneticPr fontId="1" type="noConversion"/>
  </si>
  <si>
    <t>dm2</t>
    <phoneticPr fontId="1" type="noConversion"/>
  </si>
  <si>
    <t>dm3</t>
    <phoneticPr fontId="1" type="noConversion"/>
  </si>
  <si>
    <t>X'</t>
    <phoneticPr fontId="1" type="noConversion"/>
  </si>
  <si>
    <t>X'X</t>
    <phoneticPr fontId="1" type="noConversion"/>
  </si>
  <si>
    <t>상관계수</t>
    <phoneticPr fontId="1" type="noConversion"/>
  </si>
  <si>
    <t>(X'X)-1</t>
    <phoneticPr fontId="1" type="noConversion"/>
  </si>
  <si>
    <t>(X'X)-1X'Y</t>
    <phoneticPr fontId="1" type="noConversion"/>
  </si>
  <si>
    <t>a0</t>
    <phoneticPr fontId="1" type="noConversion"/>
  </si>
  <si>
    <t>a4</t>
  </si>
  <si>
    <t>a5</t>
  </si>
  <si>
    <t>a6</t>
  </si>
  <si>
    <t>x</t>
    <phoneticPr fontId="1" type="noConversion"/>
  </si>
  <si>
    <t>y</t>
    <phoneticPr fontId="1" type="noConversion"/>
  </si>
  <si>
    <t>중앙값</t>
    <phoneticPr fontId="1" type="noConversion"/>
  </si>
  <si>
    <t>x</t>
    <phoneticPr fontId="1" type="noConversion"/>
  </si>
  <si>
    <t>z</t>
    <phoneticPr fontId="1" type="noConversion"/>
  </si>
  <si>
    <t>최빈값</t>
    <phoneticPr fontId="1" type="noConversion"/>
  </si>
  <si>
    <t>최대값</t>
    <phoneticPr fontId="1" type="noConversion"/>
  </si>
  <si>
    <t>최소값</t>
    <phoneticPr fontId="1" type="noConversion"/>
  </si>
  <si>
    <t>범위</t>
    <phoneticPr fontId="1" type="noConversion"/>
  </si>
  <si>
    <t>-</t>
    <phoneticPr fontId="1" type="noConversion"/>
  </si>
  <si>
    <t>A-B</t>
    <phoneticPr fontId="1" type="noConversion"/>
  </si>
  <si>
    <t>B의 역행렬과 A의 역행렬의 곱</t>
    <phoneticPr fontId="1" type="noConversion"/>
  </si>
  <si>
    <t>고윳값</t>
    <phoneticPr fontId="1" type="noConversion"/>
  </si>
  <si>
    <t>고유벡터</t>
    <phoneticPr fontId="1" type="noConversion"/>
  </si>
  <si>
    <t>실제 데이터</t>
    <phoneticPr fontId="1" type="noConversion"/>
  </si>
  <si>
    <t>일일 평균 손님수 (Y)</t>
    <phoneticPr fontId="1" type="noConversion"/>
  </si>
  <si>
    <t>Za1</t>
    <phoneticPr fontId="1" type="noConversion"/>
  </si>
  <si>
    <t>Za2</t>
    <phoneticPr fontId="1" type="noConversion"/>
  </si>
  <si>
    <t>Za3</t>
    <phoneticPr fontId="1" type="noConversion"/>
  </si>
  <si>
    <t>Z</t>
    <phoneticPr fontId="1" type="noConversion"/>
  </si>
  <si>
    <t>상관행렬(R)</t>
    <phoneticPr fontId="1" type="noConversion"/>
  </si>
  <si>
    <t>역행렬(R-1)</t>
    <phoneticPr fontId="1" type="noConversion"/>
  </si>
  <si>
    <t>ZR-1</t>
    <phoneticPr fontId="1" type="noConversion"/>
  </si>
  <si>
    <t>ZR-1Z'</t>
    <phoneticPr fontId="1" type="noConversion"/>
  </si>
  <si>
    <t>MD</t>
    <phoneticPr fontId="1" type="noConversion"/>
  </si>
  <si>
    <t>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</si>
</sst>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_ "/>
    <numFmt numFmtId="177" formatCode="0.0_ "/>
    <numFmt numFmtId="178" formatCode="0.000000000000000_ "/>
    <numFmt numFmtId="179" formatCode="0.00_);[Red]\(0.00\)"/>
    <numFmt numFmtId="180" formatCode="0_ "/>
    <numFmt numFmtId="181" formatCode="0.0000000_ "/>
    <numFmt numFmtId="182" formatCode="0_);[Red]\(0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24292E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14">
    <xf numFmtId="0" fontId="0" fillId="0" borderId="0" xfId="0">
      <alignment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176" fontId="4" fillId="0" borderId="0" xfId="0" applyNumberFormat="1" applyFont="1" applyBorder="1" applyAlignment="1">
      <alignment horizontal="center" vertical="center"/>
    </xf>
    <xf numFmtId="176" fontId="0" fillId="0" borderId="0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ont="1" applyFill="1" applyBorder="1" applyAlignment="1">
      <alignment horizontal="right" vertical="center"/>
    </xf>
    <xf numFmtId="0" fontId="0" fillId="0" borderId="0" xfId="0" applyFont="1" applyFill="1" applyBorder="1" applyAlignment="1">
      <alignment horizontal="left" vertical="center"/>
    </xf>
    <xf numFmtId="0" fontId="0" fillId="4" borderId="0" xfId="0" applyFill="1" applyBorder="1">
      <alignment vertical="center"/>
    </xf>
    <xf numFmtId="0" fontId="0" fillId="5" borderId="0" xfId="0" applyFill="1" applyBorder="1">
      <alignment vertical="center"/>
    </xf>
    <xf numFmtId="3" fontId="0" fillId="0" borderId="0" xfId="0" applyNumberFormat="1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77" fontId="0" fillId="0" borderId="0" xfId="0" applyNumberFormat="1" applyFill="1" applyBorder="1" applyAlignment="1">
      <alignment horizontal="center" vertical="center"/>
    </xf>
    <xf numFmtId="176" fontId="0" fillId="6" borderId="0" xfId="0" applyNumberFormat="1" applyFill="1" applyBorder="1" applyAlignment="1">
      <alignment vertical="center"/>
    </xf>
    <xf numFmtId="178" fontId="0" fillId="0" borderId="0" xfId="0" applyNumberFormat="1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176" fontId="0" fillId="7" borderId="0" xfId="0" applyNumberFormat="1" applyFill="1" applyAlignment="1">
      <alignment horizontal="center" vertical="center"/>
    </xf>
    <xf numFmtId="176" fontId="0" fillId="8" borderId="0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176" fontId="3" fillId="7" borderId="0" xfId="0" applyNumberFormat="1" applyFont="1" applyFill="1" applyBorder="1">
      <alignment vertical="center"/>
    </xf>
    <xf numFmtId="176" fontId="3" fillId="8" borderId="0" xfId="0" applyNumberFormat="1" applyFont="1" applyFill="1" applyBorder="1">
      <alignment vertical="center"/>
    </xf>
    <xf numFmtId="0" fontId="3" fillId="0" borderId="0" xfId="0" applyFont="1" applyBorder="1">
      <alignment vertical="center"/>
    </xf>
    <xf numFmtId="176" fontId="0" fillId="9" borderId="0" xfId="0" applyNumberFormat="1" applyFill="1" applyAlignment="1">
      <alignment horizontal="center" vertical="center"/>
    </xf>
    <xf numFmtId="176" fontId="0" fillId="8" borderId="1" xfId="0" applyNumberFormat="1" applyFill="1" applyBorder="1" applyAlignment="1">
      <alignment horizontal="center" vertical="center"/>
    </xf>
    <xf numFmtId="176" fontId="0" fillId="8" borderId="2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vertical="center"/>
    </xf>
    <xf numFmtId="176" fontId="3" fillId="0" borderId="0" xfId="0" applyNumberFormat="1" applyFont="1" applyFill="1" applyAlignment="1">
      <alignment horizontal="center" vertical="center"/>
    </xf>
    <xf numFmtId="176" fontId="3" fillId="11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76" fontId="3" fillId="7" borderId="0" xfId="0" applyNumberFormat="1" applyFont="1" applyFill="1" applyAlignment="1">
      <alignment horizontal="center" vertical="center"/>
    </xf>
    <xf numFmtId="176" fontId="0" fillId="8" borderId="0" xfId="0" applyNumberFormat="1" applyFont="1" applyFill="1" applyAlignment="1">
      <alignment horizontal="center" vertical="center"/>
    </xf>
    <xf numFmtId="176" fontId="3" fillId="12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4" fillId="13" borderId="0" xfId="1" applyNumberFormat="1" applyFont="1" applyFill="1" applyAlignment="1">
      <alignment horizontal="center" vertical="center" wrapText="1"/>
    </xf>
    <xf numFmtId="176" fontId="4" fillId="8" borderId="0" xfId="1" applyNumberFormat="1" applyFont="1" applyFill="1" applyAlignment="1">
      <alignment horizontal="center" vertical="center" wrapText="1"/>
    </xf>
    <xf numFmtId="176" fontId="4" fillId="14" borderId="0" xfId="1" applyNumberFormat="1" applyFont="1" applyFill="1" applyAlignment="1">
      <alignment horizontal="center" vertical="center" wrapText="1"/>
    </xf>
    <xf numFmtId="0" fontId="4" fillId="0" borderId="0" xfId="1" applyFont="1">
      <alignment vertical="center"/>
    </xf>
    <xf numFmtId="176" fontId="4" fillId="8" borderId="0" xfId="2" applyNumberFormat="1" applyFont="1" applyFill="1" applyAlignment="1">
      <alignment horizontal="center" vertical="center" wrapText="1"/>
    </xf>
    <xf numFmtId="176" fontId="3" fillId="9" borderId="0" xfId="0" applyNumberFormat="1" applyFont="1" applyFill="1" applyAlignment="1">
      <alignment horizontal="center" vertical="center"/>
    </xf>
    <xf numFmtId="176" fontId="4" fillId="11" borderId="0" xfId="3" applyNumberFormat="1" applyFont="1" applyFill="1" applyAlignment="1">
      <alignment horizontal="center" vertical="center" wrapText="1"/>
    </xf>
    <xf numFmtId="0" fontId="4" fillId="0" borderId="0" xfId="3" applyFont="1">
      <alignment vertical="center"/>
    </xf>
    <xf numFmtId="176" fontId="3" fillId="13" borderId="0" xfId="0" applyNumberFormat="1" applyFont="1" applyFill="1" applyAlignment="1">
      <alignment horizontal="center" vertical="center"/>
    </xf>
    <xf numFmtId="176" fontId="3" fillId="14" borderId="0" xfId="0" applyNumberFormat="1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vertical="center"/>
    </xf>
    <xf numFmtId="176" fontId="3" fillId="8" borderId="0" xfId="0" applyNumberFormat="1" applyFont="1" applyFill="1" applyAlignment="1">
      <alignment vertical="center"/>
    </xf>
    <xf numFmtId="176" fontId="0" fillId="0" borderId="0" xfId="0" applyNumberFormat="1">
      <alignment vertical="center"/>
    </xf>
    <xf numFmtId="176" fontId="0" fillId="15" borderId="0" xfId="0" applyNumberFormat="1" applyFill="1" applyBorder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17" borderId="0" xfId="0" applyFill="1" applyAlignment="1">
      <alignment vertical="center"/>
    </xf>
    <xf numFmtId="0" fontId="0" fillId="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176" fontId="3" fillId="0" borderId="0" xfId="0" applyNumberFormat="1" applyFont="1">
      <alignment vertical="center"/>
    </xf>
    <xf numFmtId="176" fontId="0" fillId="3" borderId="0" xfId="0" applyNumberFormat="1" applyFill="1" applyBorder="1" applyAlignment="1">
      <alignment vertical="center"/>
    </xf>
    <xf numFmtId="176" fontId="3" fillId="3" borderId="0" xfId="0" applyNumberFormat="1" applyFont="1" applyFill="1">
      <alignment vertical="center"/>
    </xf>
    <xf numFmtId="176" fontId="5" fillId="22" borderId="4" xfId="0" applyNumberFormat="1" applyFont="1" applyFill="1" applyBorder="1" applyAlignment="1">
      <alignment horizontal="left" vertical="center"/>
    </xf>
    <xf numFmtId="176" fontId="3" fillId="0" borderId="0" xfId="0" applyNumberFormat="1" applyFont="1" applyAlignment="1">
      <alignment vertical="center"/>
    </xf>
    <xf numFmtId="179" fontId="0" fillId="0" borderId="0" xfId="0" applyNumberFormat="1" applyFill="1">
      <alignment vertical="center"/>
    </xf>
    <xf numFmtId="181" fontId="0" fillId="0" borderId="0" xfId="0" applyNumberFormat="1" applyFill="1">
      <alignment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80" fontId="0" fillId="0" borderId="0" xfId="0" applyNumberFormat="1" applyFill="1" applyBorder="1" applyAlignment="1">
      <alignment horizontal="center" vertical="center"/>
    </xf>
    <xf numFmtId="182" fontId="0" fillId="0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/>
    </xf>
    <xf numFmtId="176" fontId="0" fillId="23" borderId="0" xfId="0" applyNumberFormat="1" applyFill="1" applyAlignment="1">
      <alignment horizontal="center" vertical="center"/>
    </xf>
    <xf numFmtId="180" fontId="0" fillId="23" borderId="0" xfId="0" applyNumberFormat="1" applyFill="1" applyAlignment="1">
      <alignment horizontal="center" vertical="center"/>
    </xf>
    <xf numFmtId="176" fontId="0" fillId="23" borderId="0" xfId="0" applyNumberFormat="1" applyFill="1">
      <alignment vertical="center"/>
    </xf>
    <xf numFmtId="176" fontId="0" fillId="23" borderId="0" xfId="0" applyNumberFormat="1" applyFill="1" applyBorder="1">
      <alignment vertical="center"/>
    </xf>
    <xf numFmtId="176" fontId="3" fillId="23" borderId="0" xfId="0" applyNumberFormat="1" applyFont="1" applyFill="1" applyBorder="1">
      <alignment vertical="center"/>
    </xf>
    <xf numFmtId="0" fontId="0" fillId="23" borderId="0" xfId="0" applyFill="1" applyBorder="1">
      <alignment vertical="center"/>
    </xf>
    <xf numFmtId="176" fontId="3" fillId="23" borderId="0" xfId="0" applyNumberFormat="1" applyFont="1" applyFill="1">
      <alignment vertical="center"/>
    </xf>
    <xf numFmtId="0" fontId="0" fillId="23" borderId="0" xfId="0" applyFill="1">
      <alignment vertical="center"/>
    </xf>
    <xf numFmtId="179" fontId="0" fillId="23" borderId="0" xfId="0" applyNumberFormat="1" applyFill="1">
      <alignment vertical="center"/>
    </xf>
    <xf numFmtId="177" fontId="0" fillId="6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77" fontId="0" fillId="23" borderId="0" xfId="0" applyNumberFormat="1" applyFill="1">
      <alignment vertical="center"/>
    </xf>
    <xf numFmtId="0" fontId="0" fillId="23" borderId="0" xfId="0" applyFill="1" applyBorder="1" applyAlignment="1">
      <alignment horizontal="center" vertical="center"/>
    </xf>
    <xf numFmtId="176" fontId="0" fillId="23" borderId="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6" fontId="0" fillId="17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176" fontId="0" fillId="21" borderId="0" xfId="0" applyNumberFormat="1" applyFill="1" applyAlignment="1">
      <alignment horizontal="center" vertical="center"/>
    </xf>
    <xf numFmtId="176" fontId="0" fillId="3" borderId="0" xfId="0" applyNumberForma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176" fontId="0" fillId="3" borderId="3" xfId="0" applyNumberFormat="1" applyFill="1" applyBorder="1" applyAlignment="1">
      <alignment horizontal="center" vertical="center"/>
    </xf>
    <xf numFmtId="176" fontId="0" fillId="3" borderId="0" xfId="0" applyNumberFormat="1" applyFill="1" applyAlignment="1">
      <alignment horizontal="center" vertical="center"/>
    </xf>
    <xf numFmtId="176" fontId="3" fillId="10" borderId="0" xfId="0" applyNumberFormat="1" applyFont="1" applyFill="1" applyAlignment="1">
      <alignment horizontal="center" vertical="center" wrapText="1"/>
    </xf>
    <xf numFmtId="176" fontId="3" fillId="12" borderId="0" xfId="0" applyNumberFormat="1" applyFont="1" applyFill="1" applyAlignment="1">
      <alignment horizontal="center" vertical="center"/>
    </xf>
    <xf numFmtId="176" fontId="4" fillId="12" borderId="0" xfId="3" applyNumberFormat="1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/>
    </xf>
  </cellXfs>
  <cellStyles count="4">
    <cellStyle name="표준" xfId="0" builtinId="0"/>
    <cellStyle name="표준 3" xfId="1"/>
    <cellStyle name="표준 4" xfId="2"/>
    <cellStyle name="표준 6" xfId="3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320040</xdr:colOff>
          <xdr:row>0</xdr:row>
          <xdr:rowOff>114300</xdr:rowOff>
        </xdr:from>
        <xdr:to>
          <xdr:col>18</xdr:col>
          <xdr:colOff>152400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고유값 고유벡터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30"/>
  <sheetViews>
    <sheetView topLeftCell="B1" zoomScale="70" zoomScaleNormal="70" workbookViewId="0">
      <selection activeCell="R26" sqref="R26"/>
    </sheetView>
  </sheetViews>
  <sheetFormatPr defaultRowHeight="17.399999999999999"/>
  <cols>
    <col min="2" max="2" width="15.19921875" bestFit="1" customWidth="1"/>
    <col min="3" max="3" width="18.3984375" customWidth="1"/>
  </cols>
  <sheetData>
    <row r="1" spans="1:27">
      <c r="B1" t="s">
        <v>43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Q1" s="59"/>
      <c r="R1" s="59" t="s">
        <v>535</v>
      </c>
      <c r="S1" s="59" t="s">
        <v>536</v>
      </c>
      <c r="T1" s="59"/>
      <c r="U1" s="59"/>
      <c r="V1" s="59" t="s">
        <v>538</v>
      </c>
      <c r="W1" s="59" t="s">
        <v>536</v>
      </c>
      <c r="X1" s="59" t="s">
        <v>539</v>
      </c>
      <c r="Z1" s="59"/>
      <c r="AA1" s="59" t="s">
        <v>538</v>
      </c>
    </row>
    <row r="2" spans="1:27">
      <c r="B2" t="s">
        <v>88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Q2" s="59"/>
      <c r="R2" s="59">
        <v>1</v>
      </c>
      <c r="S2" s="59">
        <v>1</v>
      </c>
      <c r="T2" s="59"/>
      <c r="U2" s="59"/>
      <c r="V2" s="59">
        <v>1</v>
      </c>
      <c r="W2" s="59">
        <v>1</v>
      </c>
      <c r="X2" s="59">
        <v>1</v>
      </c>
      <c r="Z2" s="59"/>
      <c r="AA2" s="59">
        <v>-3</v>
      </c>
    </row>
    <row r="3" spans="1:27">
      <c r="B3" t="s">
        <v>89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Q3" s="59"/>
      <c r="R3" s="59">
        <v>1</v>
      </c>
      <c r="S3" s="59">
        <v>1</v>
      </c>
      <c r="T3" s="59"/>
      <c r="U3" s="59"/>
      <c r="V3" s="59">
        <v>2</v>
      </c>
      <c r="W3" s="59">
        <v>1</v>
      </c>
      <c r="X3" s="59">
        <v>2</v>
      </c>
      <c r="Z3" s="59"/>
      <c r="AA3" s="59">
        <v>-2</v>
      </c>
    </row>
    <row r="4" spans="1:27">
      <c r="B4" t="s">
        <v>90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Q4" s="59"/>
      <c r="R4" s="59">
        <v>3</v>
      </c>
      <c r="S4" s="59">
        <v>3</v>
      </c>
      <c r="T4" s="59"/>
      <c r="U4" s="59"/>
      <c r="V4" s="59">
        <v>2</v>
      </c>
      <c r="W4" s="59">
        <v>2</v>
      </c>
      <c r="X4" s="59">
        <v>3</v>
      </c>
      <c r="Z4" s="59"/>
      <c r="AA4" s="59">
        <v>-1</v>
      </c>
    </row>
    <row r="5" spans="1:27">
      <c r="B5" t="s">
        <v>91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Q5" s="59"/>
      <c r="R5" s="59">
        <v>4</v>
      </c>
      <c r="S5" s="59">
        <v>4</v>
      </c>
      <c r="T5" s="59"/>
      <c r="U5" s="59"/>
      <c r="V5" s="59">
        <v>3</v>
      </c>
      <c r="W5" s="59">
        <v>3</v>
      </c>
      <c r="X5" s="59">
        <v>4</v>
      </c>
      <c r="Z5" s="78" t="s">
        <v>541</v>
      </c>
      <c r="AA5" s="78"/>
    </row>
    <row r="6" spans="1:27">
      <c r="B6" t="s">
        <v>92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Q6" s="59"/>
      <c r="R6" s="59">
        <v>5</v>
      </c>
      <c r="S6" s="59">
        <v>5</v>
      </c>
      <c r="T6" s="59"/>
      <c r="U6" s="59"/>
      <c r="V6" s="59">
        <v>3</v>
      </c>
      <c r="W6" s="59">
        <v>3</v>
      </c>
      <c r="X6" s="59">
        <v>5</v>
      </c>
      <c r="Z6" s="78" t="s">
        <v>542</v>
      </c>
      <c r="AA6" s="78"/>
    </row>
    <row r="7" spans="1:27">
      <c r="B7" t="s">
        <v>449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Q7" s="59"/>
      <c r="R7" s="59"/>
      <c r="S7" s="59">
        <v>6</v>
      </c>
      <c r="T7" s="59"/>
      <c r="U7" s="59"/>
      <c r="V7" s="59">
        <v>4</v>
      </c>
      <c r="W7" s="59">
        <v>4</v>
      </c>
      <c r="X7" s="59">
        <v>6</v>
      </c>
      <c r="Z7" s="78" t="s">
        <v>543</v>
      </c>
      <c r="AA7" s="78"/>
    </row>
    <row r="8" spans="1:27">
      <c r="B8" t="s">
        <v>44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Q8" s="78" t="s">
        <v>537</v>
      </c>
      <c r="R8" s="78"/>
      <c r="S8" s="78"/>
      <c r="T8" s="59"/>
      <c r="U8" s="59"/>
      <c r="V8" s="59">
        <v>5</v>
      </c>
      <c r="W8" s="59">
        <v>5</v>
      </c>
      <c r="X8" s="59">
        <v>7</v>
      </c>
    </row>
    <row r="9" spans="1:27">
      <c r="Q9" s="59"/>
      <c r="R9" s="59"/>
      <c r="S9" s="59"/>
      <c r="T9" s="59"/>
      <c r="U9" s="59"/>
      <c r="V9" s="59">
        <v>5</v>
      </c>
      <c r="W9" s="59">
        <v>5</v>
      </c>
      <c r="X9" s="59">
        <v>8</v>
      </c>
    </row>
    <row r="10" spans="1:27">
      <c r="A10" t="s">
        <v>7</v>
      </c>
      <c r="B10" t="s">
        <v>8</v>
      </c>
      <c r="C10" t="s">
        <v>11</v>
      </c>
      <c r="D10" t="s">
        <v>12</v>
      </c>
      <c r="E10" t="s">
        <v>13</v>
      </c>
      <c r="F10" t="s">
        <v>14</v>
      </c>
      <c r="G10" t="s">
        <v>15</v>
      </c>
      <c r="H10" t="s">
        <v>16</v>
      </c>
      <c r="I10" t="s">
        <v>17</v>
      </c>
      <c r="J10" t="s">
        <v>18</v>
      </c>
      <c r="K10" t="s">
        <v>19</v>
      </c>
      <c r="L10" t="s">
        <v>20</v>
      </c>
      <c r="M10" t="s">
        <v>21</v>
      </c>
      <c r="N10" t="s">
        <v>22</v>
      </c>
      <c r="O10" t="s">
        <v>23</v>
      </c>
      <c r="Q10" s="59"/>
      <c r="R10" s="59"/>
      <c r="S10" s="59"/>
      <c r="T10" s="59"/>
      <c r="U10" s="59"/>
      <c r="V10" s="59">
        <v>5</v>
      </c>
      <c r="W10" s="59">
        <v>6</v>
      </c>
      <c r="X10" s="59">
        <v>9</v>
      </c>
    </row>
    <row r="11" spans="1:27">
      <c r="A11">
        <v>1</v>
      </c>
      <c r="B11" t="s">
        <v>48</v>
      </c>
      <c r="C11">
        <v>176</v>
      </c>
      <c r="D11">
        <v>34</v>
      </c>
      <c r="E11">
        <v>1</v>
      </c>
      <c r="F11">
        <v>5</v>
      </c>
      <c r="G11">
        <v>64</v>
      </c>
      <c r="H11">
        <v>84</v>
      </c>
      <c r="I11">
        <v>4</v>
      </c>
      <c r="J11">
        <v>44</v>
      </c>
      <c r="K11">
        <v>40</v>
      </c>
      <c r="L11">
        <v>0.37</v>
      </c>
      <c r="M11">
        <v>0.42</v>
      </c>
      <c r="N11">
        <v>0.47699999999999998</v>
      </c>
      <c r="O11">
        <v>0.89700000000000002</v>
      </c>
      <c r="Q11" s="59"/>
      <c r="R11" s="59"/>
      <c r="S11" s="59"/>
      <c r="T11" s="59"/>
      <c r="U11" s="59"/>
      <c r="V11" s="59">
        <v>6</v>
      </c>
      <c r="W11" s="59">
        <v>7</v>
      </c>
      <c r="X11" s="59">
        <v>10</v>
      </c>
    </row>
    <row r="12" spans="1:27">
      <c r="A12">
        <v>2</v>
      </c>
      <c r="B12" t="s">
        <v>49</v>
      </c>
      <c r="C12">
        <v>177</v>
      </c>
      <c r="D12">
        <v>40</v>
      </c>
      <c r="E12">
        <v>2</v>
      </c>
      <c r="F12">
        <v>20</v>
      </c>
      <c r="G12">
        <v>78</v>
      </c>
      <c r="H12">
        <v>91</v>
      </c>
      <c r="I12">
        <v>20</v>
      </c>
      <c r="J12">
        <v>51</v>
      </c>
      <c r="K12">
        <v>64</v>
      </c>
      <c r="L12">
        <v>0.36599999999999999</v>
      </c>
      <c r="M12">
        <v>0.42399999999999999</v>
      </c>
      <c r="N12">
        <v>0.58199999999999996</v>
      </c>
      <c r="O12">
        <v>1.006</v>
      </c>
      <c r="Q12" s="59"/>
      <c r="R12" s="59"/>
      <c r="S12" s="59"/>
      <c r="T12" s="59"/>
      <c r="U12" s="78" t="s">
        <v>540</v>
      </c>
      <c r="V12" s="78"/>
      <c r="W12" s="78"/>
      <c r="X12" s="78"/>
    </row>
    <row r="13" spans="1:27">
      <c r="A13">
        <v>3</v>
      </c>
      <c r="B13" t="s">
        <v>50</v>
      </c>
      <c r="C13">
        <v>141</v>
      </c>
      <c r="D13">
        <v>25</v>
      </c>
      <c r="E13">
        <v>4</v>
      </c>
      <c r="F13">
        <v>3</v>
      </c>
      <c r="G13">
        <v>47</v>
      </c>
      <c r="H13">
        <v>84</v>
      </c>
      <c r="I13">
        <v>11</v>
      </c>
      <c r="J13">
        <v>57</v>
      </c>
      <c r="K13">
        <v>51</v>
      </c>
      <c r="L13">
        <v>0.36299999999999999</v>
      </c>
      <c r="M13">
        <v>0.441</v>
      </c>
      <c r="N13">
        <v>0.47199999999999998</v>
      </c>
      <c r="O13">
        <v>0.91300000000000003</v>
      </c>
    </row>
    <row r="14" spans="1:27">
      <c r="A14">
        <v>4</v>
      </c>
      <c r="B14" t="s">
        <v>51</v>
      </c>
      <c r="C14">
        <v>173</v>
      </c>
      <c r="D14">
        <v>42</v>
      </c>
      <c r="E14">
        <v>2</v>
      </c>
      <c r="F14">
        <v>24</v>
      </c>
      <c r="G14">
        <v>99</v>
      </c>
      <c r="H14">
        <v>103</v>
      </c>
      <c r="I14">
        <v>17</v>
      </c>
      <c r="J14">
        <v>60</v>
      </c>
      <c r="K14">
        <v>116</v>
      </c>
      <c r="L14">
        <v>0.34699999999999998</v>
      </c>
      <c r="M14">
        <v>0.41499999999999998</v>
      </c>
      <c r="N14">
        <v>0.58399999999999996</v>
      </c>
      <c r="O14">
        <v>1</v>
      </c>
    </row>
    <row r="15" spans="1:27">
      <c r="A15">
        <v>5</v>
      </c>
      <c r="B15" t="s">
        <v>52</v>
      </c>
      <c r="C15">
        <v>175</v>
      </c>
      <c r="D15">
        <v>23</v>
      </c>
      <c r="E15">
        <v>2</v>
      </c>
      <c r="F15">
        <v>14</v>
      </c>
      <c r="G15">
        <v>90</v>
      </c>
      <c r="H15">
        <v>83</v>
      </c>
      <c r="I15">
        <v>4</v>
      </c>
      <c r="J15">
        <v>78</v>
      </c>
      <c r="K15">
        <v>88</v>
      </c>
      <c r="L15">
        <v>0.34399999999999997</v>
      </c>
      <c r="M15">
        <v>0.42499999999999999</v>
      </c>
      <c r="N15">
        <v>0.47899999999999998</v>
      </c>
      <c r="O15">
        <v>0.90400000000000003</v>
      </c>
    </row>
    <row r="16" spans="1:27">
      <c r="A16">
        <v>6</v>
      </c>
      <c r="B16" t="s">
        <v>53</v>
      </c>
      <c r="C16">
        <v>176</v>
      </c>
      <c r="D16">
        <v>36</v>
      </c>
      <c r="E16">
        <v>3</v>
      </c>
      <c r="F16">
        <v>26</v>
      </c>
      <c r="G16">
        <v>120</v>
      </c>
      <c r="H16">
        <v>98</v>
      </c>
      <c r="I16">
        <v>0</v>
      </c>
      <c r="J16">
        <v>107</v>
      </c>
      <c r="K16">
        <v>82</v>
      </c>
      <c r="L16">
        <v>0.34200000000000003</v>
      </c>
      <c r="M16">
        <v>0.45</v>
      </c>
      <c r="N16">
        <v>0.57599999999999996</v>
      </c>
      <c r="O16">
        <v>1.026</v>
      </c>
      <c r="W16" s="59"/>
    </row>
    <row r="17" spans="1:23">
      <c r="A17">
        <v>7</v>
      </c>
      <c r="B17" t="s">
        <v>54</v>
      </c>
      <c r="C17">
        <v>185</v>
      </c>
      <c r="D17">
        <v>34</v>
      </c>
      <c r="E17">
        <v>2</v>
      </c>
      <c r="F17">
        <v>35</v>
      </c>
      <c r="G17">
        <v>115</v>
      </c>
      <c r="H17">
        <v>110</v>
      </c>
      <c r="I17">
        <v>4</v>
      </c>
      <c r="J17">
        <v>88</v>
      </c>
      <c r="K17">
        <v>123</v>
      </c>
      <c r="L17">
        <v>0.34</v>
      </c>
      <c r="M17">
        <v>0.42899999999999999</v>
      </c>
      <c r="N17">
        <v>0.60299999999999998</v>
      </c>
      <c r="O17">
        <v>1.032</v>
      </c>
      <c r="W17" s="59"/>
    </row>
    <row r="18" spans="1:23">
      <c r="A18">
        <v>8</v>
      </c>
      <c r="B18" t="s">
        <v>55</v>
      </c>
      <c r="C18">
        <v>151</v>
      </c>
      <c r="D18">
        <v>30</v>
      </c>
      <c r="E18">
        <v>1</v>
      </c>
      <c r="F18">
        <v>37</v>
      </c>
      <c r="G18">
        <v>111</v>
      </c>
      <c r="H18">
        <v>100</v>
      </c>
      <c r="I18">
        <v>10</v>
      </c>
      <c r="J18">
        <v>60</v>
      </c>
      <c r="K18">
        <v>61</v>
      </c>
      <c r="L18">
        <v>0.33900000000000002</v>
      </c>
      <c r="M18">
        <v>0.41399999999999998</v>
      </c>
      <c r="N18">
        <v>0.66100000000000003</v>
      </c>
      <c r="O18">
        <v>1.0740000000000001</v>
      </c>
      <c r="W18" s="59"/>
    </row>
    <row r="19" spans="1:23">
      <c r="A19">
        <v>9</v>
      </c>
      <c r="B19" t="s">
        <v>56</v>
      </c>
      <c r="C19">
        <v>193</v>
      </c>
      <c r="D19">
        <v>35</v>
      </c>
      <c r="E19">
        <v>4</v>
      </c>
      <c r="F19">
        <v>20</v>
      </c>
      <c r="G19">
        <v>80</v>
      </c>
      <c r="H19">
        <v>113</v>
      </c>
      <c r="I19">
        <v>25</v>
      </c>
      <c r="J19">
        <v>87</v>
      </c>
      <c r="K19">
        <v>96</v>
      </c>
      <c r="L19">
        <v>0.33500000000000002</v>
      </c>
      <c r="M19">
        <v>0.42</v>
      </c>
      <c r="N19">
        <v>0.51400000000000001</v>
      </c>
      <c r="O19">
        <v>0.93400000000000005</v>
      </c>
      <c r="W19" s="59"/>
    </row>
    <row r="20" spans="1:23">
      <c r="A20">
        <v>10</v>
      </c>
      <c r="B20" t="s">
        <v>57</v>
      </c>
      <c r="C20">
        <v>179</v>
      </c>
      <c r="D20">
        <v>28</v>
      </c>
      <c r="E20">
        <v>3</v>
      </c>
      <c r="F20">
        <v>6</v>
      </c>
      <c r="G20">
        <v>76</v>
      </c>
      <c r="H20">
        <v>87</v>
      </c>
      <c r="I20">
        <v>15</v>
      </c>
      <c r="J20">
        <v>68</v>
      </c>
      <c r="K20">
        <v>68</v>
      </c>
      <c r="L20">
        <v>0.33200000000000002</v>
      </c>
      <c r="M20">
        <v>0.40300000000000002</v>
      </c>
      <c r="N20">
        <v>0.42899999999999999</v>
      </c>
      <c r="O20">
        <v>0.83199999999999996</v>
      </c>
      <c r="W20" s="59"/>
    </row>
    <row r="21" spans="1:23">
      <c r="A21">
        <v>11</v>
      </c>
      <c r="B21" t="s">
        <v>58</v>
      </c>
      <c r="C21">
        <v>154</v>
      </c>
      <c r="D21">
        <v>24</v>
      </c>
      <c r="E21">
        <v>4</v>
      </c>
      <c r="F21">
        <v>9</v>
      </c>
      <c r="G21">
        <v>63</v>
      </c>
      <c r="H21">
        <v>79</v>
      </c>
      <c r="I21">
        <v>8</v>
      </c>
      <c r="J21">
        <v>31</v>
      </c>
      <c r="K21">
        <v>57</v>
      </c>
      <c r="L21">
        <v>0.33200000000000002</v>
      </c>
      <c r="M21">
        <v>0.371</v>
      </c>
      <c r="N21">
        <v>0.45900000000000002</v>
      </c>
      <c r="O21">
        <v>0.83099999999999996</v>
      </c>
      <c r="W21" s="59"/>
    </row>
    <row r="22" spans="1:23">
      <c r="A22">
        <v>12</v>
      </c>
      <c r="B22" t="s">
        <v>59</v>
      </c>
      <c r="C22">
        <v>143</v>
      </c>
      <c r="D22">
        <v>26</v>
      </c>
      <c r="E22">
        <v>0</v>
      </c>
      <c r="F22">
        <v>13</v>
      </c>
      <c r="G22">
        <v>75</v>
      </c>
      <c r="H22">
        <v>71</v>
      </c>
      <c r="I22">
        <v>2</v>
      </c>
      <c r="J22">
        <v>24</v>
      </c>
      <c r="K22">
        <v>88</v>
      </c>
      <c r="L22">
        <v>0.32700000000000001</v>
      </c>
      <c r="M22">
        <v>0.35599999999999998</v>
      </c>
      <c r="N22">
        <v>0.47599999999999998</v>
      </c>
      <c r="O22">
        <v>0.83199999999999996</v>
      </c>
    </row>
    <row r="23" spans="1:23">
      <c r="A23">
        <v>13</v>
      </c>
      <c r="B23" t="s">
        <v>60</v>
      </c>
      <c r="C23">
        <v>179</v>
      </c>
      <c r="D23">
        <v>29</v>
      </c>
      <c r="E23">
        <v>8</v>
      </c>
      <c r="F23">
        <v>2</v>
      </c>
      <c r="G23">
        <v>47</v>
      </c>
      <c r="H23">
        <v>111</v>
      </c>
      <c r="I23">
        <v>12</v>
      </c>
      <c r="J23">
        <v>66</v>
      </c>
      <c r="K23">
        <v>67</v>
      </c>
      <c r="L23">
        <v>0.32400000000000001</v>
      </c>
      <c r="M23">
        <v>0.39500000000000002</v>
      </c>
      <c r="N23">
        <v>0.41699999999999998</v>
      </c>
      <c r="O23">
        <v>0.81200000000000006</v>
      </c>
    </row>
    <row r="24" spans="1:23">
      <c r="A24">
        <v>14</v>
      </c>
      <c r="B24" t="s">
        <v>61</v>
      </c>
      <c r="C24">
        <v>146</v>
      </c>
      <c r="D24">
        <v>27</v>
      </c>
      <c r="E24">
        <v>1</v>
      </c>
      <c r="F24">
        <v>18</v>
      </c>
      <c r="G24">
        <v>69</v>
      </c>
      <c r="H24">
        <v>76</v>
      </c>
      <c r="I24">
        <v>2</v>
      </c>
      <c r="J24">
        <v>37</v>
      </c>
      <c r="K24">
        <v>70</v>
      </c>
      <c r="L24">
        <v>0.32100000000000001</v>
      </c>
      <c r="M24">
        <v>0.37</v>
      </c>
      <c r="N24">
        <v>0.503</v>
      </c>
      <c r="O24">
        <v>0.874</v>
      </c>
    </row>
    <row r="25" spans="1:23">
      <c r="A25">
        <v>15</v>
      </c>
      <c r="B25" t="s">
        <v>62</v>
      </c>
      <c r="C25">
        <v>173</v>
      </c>
      <c r="D25">
        <v>13</v>
      </c>
      <c r="E25">
        <v>0</v>
      </c>
      <c r="F25">
        <v>34</v>
      </c>
      <c r="G25">
        <v>111</v>
      </c>
      <c r="H25">
        <v>73</v>
      </c>
      <c r="I25">
        <v>1</v>
      </c>
      <c r="J25">
        <v>65</v>
      </c>
      <c r="K25">
        <v>84</v>
      </c>
      <c r="L25">
        <v>0.32</v>
      </c>
      <c r="M25">
        <v>0.39100000000000001</v>
      </c>
      <c r="N25">
        <v>0.53300000000000003</v>
      </c>
      <c r="O25">
        <v>0.92500000000000004</v>
      </c>
    </row>
    <row r="26" spans="1:23">
      <c r="A26">
        <v>16</v>
      </c>
      <c r="B26" t="s">
        <v>63</v>
      </c>
      <c r="C26">
        <v>178</v>
      </c>
      <c r="D26">
        <v>26</v>
      </c>
      <c r="E26">
        <v>8</v>
      </c>
      <c r="F26">
        <v>27</v>
      </c>
      <c r="G26">
        <v>111</v>
      </c>
      <c r="H26">
        <v>118</v>
      </c>
      <c r="I26">
        <v>32</v>
      </c>
      <c r="J26">
        <v>52</v>
      </c>
      <c r="K26">
        <v>112</v>
      </c>
      <c r="L26">
        <v>0.32</v>
      </c>
      <c r="M26">
        <v>0.372</v>
      </c>
      <c r="N26">
        <v>0.54</v>
      </c>
      <c r="O26">
        <v>0.91300000000000003</v>
      </c>
    </row>
    <row r="27" spans="1:23">
      <c r="A27">
        <v>17</v>
      </c>
      <c r="B27" t="s">
        <v>64</v>
      </c>
      <c r="C27">
        <v>136</v>
      </c>
      <c r="D27">
        <v>18</v>
      </c>
      <c r="E27">
        <v>1</v>
      </c>
      <c r="F27">
        <v>46</v>
      </c>
      <c r="G27">
        <v>113</v>
      </c>
      <c r="H27">
        <v>89</v>
      </c>
      <c r="I27">
        <v>1</v>
      </c>
      <c r="J27">
        <v>89</v>
      </c>
      <c r="K27">
        <v>107</v>
      </c>
      <c r="L27">
        <v>0.316</v>
      </c>
      <c r="M27">
        <v>0.42699999999999999</v>
      </c>
      <c r="N27">
        <v>0.68400000000000005</v>
      </c>
      <c r="O27">
        <v>1.111</v>
      </c>
    </row>
    <row r="28" spans="1:23">
      <c r="A28">
        <v>18</v>
      </c>
      <c r="B28" t="s">
        <v>65</v>
      </c>
      <c r="C28">
        <v>154</v>
      </c>
      <c r="D28">
        <v>29</v>
      </c>
      <c r="E28">
        <v>2</v>
      </c>
      <c r="F28">
        <v>21</v>
      </c>
      <c r="G28">
        <v>93</v>
      </c>
      <c r="H28">
        <v>95</v>
      </c>
      <c r="I28">
        <v>7</v>
      </c>
      <c r="J28">
        <v>47</v>
      </c>
      <c r="K28">
        <v>70</v>
      </c>
      <c r="L28">
        <v>0.316</v>
      </c>
      <c r="M28">
        <v>0.373</v>
      </c>
      <c r="N28">
        <v>0.51300000000000001</v>
      </c>
      <c r="O28">
        <v>0.88600000000000001</v>
      </c>
    </row>
    <row r="29" spans="1:23">
      <c r="A29">
        <v>19</v>
      </c>
      <c r="B29" t="s">
        <v>66</v>
      </c>
      <c r="C29">
        <v>162</v>
      </c>
      <c r="D29">
        <v>38</v>
      </c>
      <c r="E29">
        <v>0</v>
      </c>
      <c r="F29">
        <v>31</v>
      </c>
      <c r="G29">
        <v>124</v>
      </c>
      <c r="H29">
        <v>90</v>
      </c>
      <c r="I29">
        <v>2</v>
      </c>
      <c r="J29">
        <v>72</v>
      </c>
      <c r="K29">
        <v>107</v>
      </c>
      <c r="L29">
        <v>0.315</v>
      </c>
      <c r="M29">
        <v>0.39600000000000002</v>
      </c>
      <c r="N29">
        <v>0.56899999999999995</v>
      </c>
      <c r="O29">
        <v>0.96499999999999997</v>
      </c>
    </row>
    <row r="30" spans="1:23">
      <c r="A30">
        <v>20</v>
      </c>
      <c r="B30" t="s">
        <v>67</v>
      </c>
      <c r="C30">
        <v>168</v>
      </c>
      <c r="D30">
        <v>30</v>
      </c>
      <c r="E30">
        <v>1</v>
      </c>
      <c r="F30">
        <v>20</v>
      </c>
      <c r="G30">
        <v>105</v>
      </c>
      <c r="H30">
        <v>90</v>
      </c>
      <c r="I30">
        <v>0</v>
      </c>
      <c r="J30">
        <v>41</v>
      </c>
      <c r="K30">
        <v>85</v>
      </c>
      <c r="L30">
        <v>0.312</v>
      </c>
      <c r="M30">
        <v>0.35699999999999998</v>
      </c>
      <c r="N30">
        <v>0.48299999999999998</v>
      </c>
      <c r="O30">
        <v>0.84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47"/>
  <sheetViews>
    <sheetView topLeftCell="A61" zoomScale="70" zoomScaleNormal="70" workbookViewId="0">
      <selection activeCell="Q3" sqref="Q3:Q5"/>
    </sheetView>
  </sheetViews>
  <sheetFormatPr defaultRowHeight="17.399999999999999"/>
  <cols>
    <col min="2" max="2" width="15.19921875" bestFit="1" customWidth="1"/>
  </cols>
  <sheetData>
    <row r="1" spans="1:17">
      <c r="B1" t="s">
        <v>43</v>
      </c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</row>
    <row r="2" spans="1:17">
      <c r="B2" t="s">
        <v>44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Q2" t="s">
        <v>43</v>
      </c>
    </row>
    <row r="3" spans="1:17">
      <c r="B3" t="s">
        <v>45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Q3" s="93"/>
    </row>
    <row r="4" spans="1:17">
      <c r="B4" t="s">
        <v>46</v>
      </c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Q4" s="93"/>
    </row>
    <row r="5" spans="1:17">
      <c r="B5" t="s">
        <v>47</v>
      </c>
      <c r="C5" s="89"/>
      <c r="D5" s="89"/>
      <c r="E5" s="89"/>
      <c r="F5" s="89"/>
      <c r="G5" s="89"/>
      <c r="H5" s="89"/>
      <c r="I5" s="89"/>
      <c r="J5" s="89"/>
      <c r="K5" s="89"/>
      <c r="L5" s="89"/>
      <c r="M5" s="89"/>
      <c r="N5" s="89"/>
      <c r="O5" s="89"/>
      <c r="Q5" s="93"/>
    </row>
    <row r="7" spans="1:17">
      <c r="A7" t="s">
        <v>7</v>
      </c>
      <c r="B7" t="s">
        <v>8</v>
      </c>
      <c r="C7" t="s">
        <v>11</v>
      </c>
      <c r="D7" t="s">
        <v>12</v>
      </c>
      <c r="E7" t="s">
        <v>13</v>
      </c>
      <c r="F7" t="s">
        <v>14</v>
      </c>
      <c r="G7" t="s">
        <v>15</v>
      </c>
      <c r="H7" t="s">
        <v>16</v>
      </c>
      <c r="I7" t="s">
        <v>17</v>
      </c>
      <c r="J7" t="s">
        <v>18</v>
      </c>
      <c r="K7" t="s">
        <v>19</v>
      </c>
      <c r="L7" t="s">
        <v>20</v>
      </c>
      <c r="M7" t="s">
        <v>21</v>
      </c>
      <c r="N7" t="s">
        <v>22</v>
      </c>
      <c r="O7" t="s">
        <v>23</v>
      </c>
    </row>
    <row r="8" spans="1:17">
      <c r="A8">
        <v>1</v>
      </c>
      <c r="B8" t="s">
        <v>48</v>
      </c>
      <c r="C8">
        <v>176</v>
      </c>
      <c r="D8">
        <v>34</v>
      </c>
      <c r="E8">
        <v>1</v>
      </c>
      <c r="F8">
        <v>5</v>
      </c>
      <c r="G8">
        <v>64</v>
      </c>
      <c r="H8">
        <v>84</v>
      </c>
      <c r="I8">
        <v>4</v>
      </c>
      <c r="J8">
        <v>44</v>
      </c>
      <c r="K8">
        <v>40</v>
      </c>
      <c r="L8">
        <v>0.37</v>
      </c>
      <c r="M8">
        <v>0.42</v>
      </c>
      <c r="N8">
        <v>0.47699999999999998</v>
      </c>
      <c r="O8">
        <v>0.89700000000000002</v>
      </c>
    </row>
    <row r="9" spans="1:17">
      <c r="A9">
        <v>2</v>
      </c>
      <c r="B9" t="s">
        <v>49</v>
      </c>
      <c r="C9">
        <v>177</v>
      </c>
      <c r="D9">
        <v>40</v>
      </c>
      <c r="E9">
        <v>2</v>
      </c>
      <c r="F9">
        <v>20</v>
      </c>
      <c r="G9">
        <v>78</v>
      </c>
      <c r="H9">
        <v>91</v>
      </c>
      <c r="I9">
        <v>20</v>
      </c>
      <c r="J9">
        <v>51</v>
      </c>
      <c r="K9">
        <v>64</v>
      </c>
      <c r="L9">
        <v>0.36599999999999999</v>
      </c>
      <c r="M9">
        <v>0.42399999999999999</v>
      </c>
      <c r="N9">
        <v>0.58199999999999996</v>
      </c>
      <c r="O9">
        <v>1.006</v>
      </c>
    </row>
    <row r="10" spans="1:17">
      <c r="A10">
        <v>3</v>
      </c>
      <c r="B10" t="s">
        <v>50</v>
      </c>
      <c r="C10">
        <v>141</v>
      </c>
      <c r="D10">
        <v>25</v>
      </c>
      <c r="E10">
        <v>4</v>
      </c>
      <c r="F10">
        <v>3</v>
      </c>
      <c r="G10">
        <v>47</v>
      </c>
      <c r="H10">
        <v>84</v>
      </c>
      <c r="I10">
        <v>11</v>
      </c>
      <c r="J10">
        <v>57</v>
      </c>
      <c r="K10">
        <v>51</v>
      </c>
      <c r="L10">
        <v>0.36299999999999999</v>
      </c>
      <c r="M10">
        <v>0.441</v>
      </c>
      <c r="N10">
        <v>0.47199999999999998</v>
      </c>
      <c r="O10">
        <v>0.91300000000000003</v>
      </c>
    </row>
    <row r="11" spans="1:17">
      <c r="A11">
        <v>4</v>
      </c>
      <c r="B11" t="s">
        <v>51</v>
      </c>
      <c r="C11">
        <v>173</v>
      </c>
      <c r="D11">
        <v>42</v>
      </c>
      <c r="E11">
        <v>2</v>
      </c>
      <c r="F11">
        <v>24</v>
      </c>
      <c r="G11">
        <v>99</v>
      </c>
      <c r="H11">
        <v>103</v>
      </c>
      <c r="I11">
        <v>17</v>
      </c>
      <c r="J11">
        <v>60</v>
      </c>
      <c r="K11">
        <v>116</v>
      </c>
      <c r="L11">
        <v>0.34699999999999998</v>
      </c>
      <c r="M11">
        <v>0.41499999999999998</v>
      </c>
      <c r="N11">
        <v>0.58399999999999996</v>
      </c>
      <c r="O11">
        <v>1</v>
      </c>
    </row>
    <row r="12" spans="1:17">
      <c r="A12">
        <v>5</v>
      </c>
      <c r="B12" t="s">
        <v>52</v>
      </c>
      <c r="C12">
        <v>175</v>
      </c>
      <c r="D12">
        <v>23</v>
      </c>
      <c r="E12">
        <v>2</v>
      </c>
      <c r="F12">
        <v>14</v>
      </c>
      <c r="G12">
        <v>90</v>
      </c>
      <c r="H12">
        <v>83</v>
      </c>
      <c r="I12">
        <v>4</v>
      </c>
      <c r="J12">
        <v>78</v>
      </c>
      <c r="K12">
        <v>88</v>
      </c>
      <c r="L12">
        <v>0.34399999999999997</v>
      </c>
      <c r="M12">
        <v>0.42499999999999999</v>
      </c>
      <c r="N12">
        <v>0.47899999999999998</v>
      </c>
      <c r="O12">
        <v>0.90400000000000003</v>
      </c>
    </row>
    <row r="13" spans="1:17">
      <c r="A13">
        <v>6</v>
      </c>
      <c r="B13" t="s">
        <v>53</v>
      </c>
      <c r="C13">
        <v>176</v>
      </c>
      <c r="D13">
        <v>36</v>
      </c>
      <c r="E13">
        <v>3</v>
      </c>
      <c r="F13">
        <v>26</v>
      </c>
      <c r="G13">
        <v>120</v>
      </c>
      <c r="H13">
        <v>98</v>
      </c>
      <c r="I13">
        <v>0</v>
      </c>
      <c r="J13">
        <v>107</v>
      </c>
      <c r="K13">
        <v>82</v>
      </c>
      <c r="L13">
        <v>0.34200000000000003</v>
      </c>
      <c r="M13">
        <v>0.45</v>
      </c>
      <c r="N13">
        <v>0.57599999999999996</v>
      </c>
      <c r="O13">
        <v>1.026</v>
      </c>
    </row>
    <row r="14" spans="1:17">
      <c r="A14">
        <v>7</v>
      </c>
      <c r="B14" t="s">
        <v>54</v>
      </c>
      <c r="C14">
        <v>185</v>
      </c>
      <c r="D14">
        <v>34</v>
      </c>
      <c r="E14">
        <v>2</v>
      </c>
      <c r="F14">
        <v>35</v>
      </c>
      <c r="G14">
        <v>115</v>
      </c>
      <c r="H14">
        <v>110</v>
      </c>
      <c r="I14">
        <v>4</v>
      </c>
      <c r="J14">
        <v>88</v>
      </c>
      <c r="K14">
        <v>123</v>
      </c>
      <c r="L14">
        <v>0.34</v>
      </c>
      <c r="M14">
        <v>0.42899999999999999</v>
      </c>
      <c r="N14">
        <v>0.60299999999999998</v>
      </c>
      <c r="O14">
        <v>1.032</v>
      </c>
    </row>
    <row r="15" spans="1:17">
      <c r="A15">
        <v>8</v>
      </c>
      <c r="B15" t="s">
        <v>55</v>
      </c>
      <c r="C15">
        <v>151</v>
      </c>
      <c r="D15">
        <v>30</v>
      </c>
      <c r="E15">
        <v>1</v>
      </c>
      <c r="F15">
        <v>37</v>
      </c>
      <c r="G15">
        <v>111</v>
      </c>
      <c r="H15">
        <v>100</v>
      </c>
      <c r="I15">
        <v>10</v>
      </c>
      <c r="J15">
        <v>60</v>
      </c>
      <c r="K15">
        <v>61</v>
      </c>
      <c r="L15">
        <v>0.33900000000000002</v>
      </c>
      <c r="M15">
        <v>0.41399999999999998</v>
      </c>
      <c r="N15">
        <v>0.66100000000000003</v>
      </c>
      <c r="O15">
        <v>1.0740000000000001</v>
      </c>
    </row>
    <row r="16" spans="1:17">
      <c r="A16">
        <v>9</v>
      </c>
      <c r="B16" t="s">
        <v>56</v>
      </c>
      <c r="C16">
        <v>193</v>
      </c>
      <c r="D16">
        <v>35</v>
      </c>
      <c r="E16">
        <v>4</v>
      </c>
      <c r="F16">
        <v>20</v>
      </c>
      <c r="G16">
        <v>80</v>
      </c>
      <c r="H16">
        <v>113</v>
      </c>
      <c r="I16">
        <v>25</v>
      </c>
      <c r="J16">
        <v>87</v>
      </c>
      <c r="K16">
        <v>96</v>
      </c>
      <c r="L16">
        <v>0.33500000000000002</v>
      </c>
      <c r="M16">
        <v>0.42</v>
      </c>
      <c r="N16">
        <v>0.51400000000000001</v>
      </c>
      <c r="O16">
        <v>0.93400000000000005</v>
      </c>
    </row>
    <row r="17" spans="1:15">
      <c r="A17">
        <v>10</v>
      </c>
      <c r="B17" t="s">
        <v>57</v>
      </c>
      <c r="C17">
        <v>179</v>
      </c>
      <c r="D17">
        <v>28</v>
      </c>
      <c r="E17">
        <v>3</v>
      </c>
      <c r="F17">
        <v>6</v>
      </c>
      <c r="G17">
        <v>76</v>
      </c>
      <c r="H17">
        <v>87</v>
      </c>
      <c r="I17">
        <v>15</v>
      </c>
      <c r="J17">
        <v>68</v>
      </c>
      <c r="K17">
        <v>68</v>
      </c>
      <c r="L17">
        <v>0.33200000000000002</v>
      </c>
      <c r="M17">
        <v>0.40300000000000002</v>
      </c>
      <c r="N17">
        <v>0.42899999999999999</v>
      </c>
      <c r="O17">
        <v>0.83199999999999996</v>
      </c>
    </row>
    <row r="18" spans="1:15">
      <c r="A18">
        <v>11</v>
      </c>
      <c r="B18" t="s">
        <v>58</v>
      </c>
      <c r="C18">
        <v>154</v>
      </c>
      <c r="D18">
        <v>24</v>
      </c>
      <c r="E18">
        <v>4</v>
      </c>
      <c r="F18">
        <v>9</v>
      </c>
      <c r="G18">
        <v>63</v>
      </c>
      <c r="H18">
        <v>79</v>
      </c>
      <c r="I18">
        <v>8</v>
      </c>
      <c r="J18">
        <v>31</v>
      </c>
      <c r="K18">
        <v>57</v>
      </c>
      <c r="L18">
        <v>0.33200000000000002</v>
      </c>
      <c r="M18">
        <v>0.371</v>
      </c>
      <c r="N18">
        <v>0.45900000000000002</v>
      </c>
      <c r="O18">
        <v>0.83099999999999996</v>
      </c>
    </row>
    <row r="19" spans="1:15">
      <c r="A19">
        <v>12</v>
      </c>
      <c r="B19" t="s">
        <v>59</v>
      </c>
      <c r="C19">
        <v>143</v>
      </c>
      <c r="D19">
        <v>26</v>
      </c>
      <c r="E19">
        <v>0</v>
      </c>
      <c r="F19">
        <v>13</v>
      </c>
      <c r="G19">
        <v>75</v>
      </c>
      <c r="H19">
        <v>71</v>
      </c>
      <c r="I19">
        <v>2</v>
      </c>
      <c r="J19">
        <v>24</v>
      </c>
      <c r="K19">
        <v>88</v>
      </c>
      <c r="L19">
        <v>0.32700000000000001</v>
      </c>
      <c r="M19">
        <v>0.35599999999999998</v>
      </c>
      <c r="N19">
        <v>0.47599999999999998</v>
      </c>
      <c r="O19">
        <v>0.83199999999999996</v>
      </c>
    </row>
    <row r="20" spans="1:15">
      <c r="A20">
        <v>13</v>
      </c>
      <c r="B20" t="s">
        <v>60</v>
      </c>
      <c r="C20">
        <v>179</v>
      </c>
      <c r="D20">
        <v>29</v>
      </c>
      <c r="E20">
        <v>8</v>
      </c>
      <c r="F20">
        <v>2</v>
      </c>
      <c r="G20">
        <v>47</v>
      </c>
      <c r="H20">
        <v>111</v>
      </c>
      <c r="I20">
        <v>12</v>
      </c>
      <c r="J20">
        <v>66</v>
      </c>
      <c r="K20">
        <v>67</v>
      </c>
      <c r="L20">
        <v>0.32400000000000001</v>
      </c>
      <c r="M20">
        <v>0.39500000000000002</v>
      </c>
      <c r="N20">
        <v>0.41699999999999998</v>
      </c>
      <c r="O20">
        <v>0.81200000000000006</v>
      </c>
    </row>
    <row r="21" spans="1:15">
      <c r="A21">
        <v>14</v>
      </c>
      <c r="B21" t="s">
        <v>61</v>
      </c>
      <c r="C21">
        <v>146</v>
      </c>
      <c r="D21">
        <v>27</v>
      </c>
      <c r="E21">
        <v>1</v>
      </c>
      <c r="F21">
        <v>18</v>
      </c>
      <c r="G21">
        <v>69</v>
      </c>
      <c r="H21">
        <v>76</v>
      </c>
      <c r="I21">
        <v>2</v>
      </c>
      <c r="J21">
        <v>37</v>
      </c>
      <c r="K21">
        <v>70</v>
      </c>
      <c r="L21">
        <v>0.32100000000000001</v>
      </c>
      <c r="M21">
        <v>0.37</v>
      </c>
      <c r="N21">
        <v>0.503</v>
      </c>
      <c r="O21">
        <v>0.874</v>
      </c>
    </row>
    <row r="22" spans="1:15">
      <c r="A22">
        <v>15</v>
      </c>
      <c r="B22" t="s">
        <v>62</v>
      </c>
      <c r="C22">
        <v>173</v>
      </c>
      <c r="D22">
        <v>13</v>
      </c>
      <c r="E22">
        <v>0</v>
      </c>
      <c r="F22">
        <v>34</v>
      </c>
      <c r="G22">
        <v>111</v>
      </c>
      <c r="H22">
        <v>73</v>
      </c>
      <c r="I22">
        <v>1</v>
      </c>
      <c r="J22">
        <v>65</v>
      </c>
      <c r="K22">
        <v>84</v>
      </c>
      <c r="L22">
        <v>0.32</v>
      </c>
      <c r="M22">
        <v>0.39100000000000001</v>
      </c>
      <c r="N22">
        <v>0.53300000000000003</v>
      </c>
      <c r="O22">
        <v>0.92500000000000004</v>
      </c>
    </row>
    <row r="23" spans="1:15">
      <c r="A23">
        <v>16</v>
      </c>
      <c r="B23" t="s">
        <v>63</v>
      </c>
      <c r="C23">
        <v>178</v>
      </c>
      <c r="D23">
        <v>26</v>
      </c>
      <c r="E23">
        <v>8</v>
      </c>
      <c r="F23">
        <v>27</v>
      </c>
      <c r="G23">
        <v>111</v>
      </c>
      <c r="H23">
        <v>118</v>
      </c>
      <c r="I23">
        <v>32</v>
      </c>
      <c r="J23">
        <v>52</v>
      </c>
      <c r="K23">
        <v>112</v>
      </c>
      <c r="L23">
        <v>0.32</v>
      </c>
      <c r="M23">
        <v>0.372</v>
      </c>
      <c r="N23">
        <v>0.54</v>
      </c>
      <c r="O23">
        <v>0.91300000000000003</v>
      </c>
    </row>
    <row r="24" spans="1:15">
      <c r="A24">
        <v>17</v>
      </c>
      <c r="B24" t="s">
        <v>64</v>
      </c>
      <c r="C24">
        <v>136</v>
      </c>
      <c r="D24">
        <v>18</v>
      </c>
      <c r="E24">
        <v>1</v>
      </c>
      <c r="F24">
        <v>46</v>
      </c>
      <c r="G24">
        <v>113</v>
      </c>
      <c r="H24">
        <v>89</v>
      </c>
      <c r="I24">
        <v>1</v>
      </c>
      <c r="J24">
        <v>89</v>
      </c>
      <c r="K24">
        <v>107</v>
      </c>
      <c r="L24">
        <v>0.316</v>
      </c>
      <c r="M24">
        <v>0.42699999999999999</v>
      </c>
      <c r="N24">
        <v>0.68400000000000005</v>
      </c>
      <c r="O24">
        <v>1.111</v>
      </c>
    </row>
    <row r="25" spans="1:15">
      <c r="A25">
        <v>18</v>
      </c>
      <c r="B25" t="s">
        <v>65</v>
      </c>
      <c r="C25">
        <v>154</v>
      </c>
      <c r="D25">
        <v>29</v>
      </c>
      <c r="E25">
        <v>2</v>
      </c>
      <c r="F25">
        <v>21</v>
      </c>
      <c r="G25">
        <v>93</v>
      </c>
      <c r="H25">
        <v>95</v>
      </c>
      <c r="I25">
        <v>7</v>
      </c>
      <c r="J25">
        <v>47</v>
      </c>
      <c r="K25">
        <v>70</v>
      </c>
      <c r="L25">
        <v>0.316</v>
      </c>
      <c r="M25">
        <v>0.373</v>
      </c>
      <c r="N25">
        <v>0.51300000000000001</v>
      </c>
      <c r="O25">
        <v>0.88600000000000001</v>
      </c>
    </row>
    <row r="26" spans="1:15">
      <c r="A26">
        <v>19</v>
      </c>
      <c r="B26" t="s">
        <v>66</v>
      </c>
      <c r="C26">
        <v>162</v>
      </c>
      <c r="D26">
        <v>38</v>
      </c>
      <c r="E26">
        <v>0</v>
      </c>
      <c r="F26">
        <v>31</v>
      </c>
      <c r="G26">
        <v>124</v>
      </c>
      <c r="H26">
        <v>90</v>
      </c>
      <c r="I26">
        <v>2</v>
      </c>
      <c r="J26">
        <v>72</v>
      </c>
      <c r="K26">
        <v>107</v>
      </c>
      <c r="L26">
        <v>0.315</v>
      </c>
      <c r="M26">
        <v>0.39600000000000002</v>
      </c>
      <c r="N26">
        <v>0.56899999999999995</v>
      </c>
      <c r="O26">
        <v>0.96499999999999997</v>
      </c>
    </row>
    <row r="27" spans="1:15">
      <c r="A27">
        <v>20</v>
      </c>
      <c r="B27" t="s">
        <v>67</v>
      </c>
      <c r="C27">
        <v>168</v>
      </c>
      <c r="D27">
        <v>30</v>
      </c>
      <c r="E27">
        <v>1</v>
      </c>
      <c r="F27">
        <v>20</v>
      </c>
      <c r="G27">
        <v>105</v>
      </c>
      <c r="H27">
        <v>90</v>
      </c>
      <c r="I27">
        <v>0</v>
      </c>
      <c r="J27">
        <v>41</v>
      </c>
      <c r="K27">
        <v>85</v>
      </c>
      <c r="L27">
        <v>0.312</v>
      </c>
      <c r="M27">
        <v>0.35699999999999998</v>
      </c>
      <c r="N27">
        <v>0.48299999999999998</v>
      </c>
      <c r="O27">
        <v>0.84</v>
      </c>
    </row>
    <row r="28" spans="1:15">
      <c r="A28">
        <v>21</v>
      </c>
      <c r="B28" t="s">
        <v>68</v>
      </c>
      <c r="C28">
        <v>148</v>
      </c>
      <c r="D28">
        <v>25</v>
      </c>
      <c r="E28">
        <v>3</v>
      </c>
      <c r="F28">
        <v>17</v>
      </c>
      <c r="G28">
        <v>90</v>
      </c>
      <c r="H28">
        <v>64</v>
      </c>
      <c r="I28">
        <v>9</v>
      </c>
      <c r="J28">
        <v>41</v>
      </c>
      <c r="K28">
        <v>81</v>
      </c>
      <c r="L28">
        <v>0.312</v>
      </c>
      <c r="M28">
        <v>0.36099999999999999</v>
      </c>
      <c r="N28">
        <v>0.48499999999999999</v>
      </c>
      <c r="O28">
        <v>0.84599999999999997</v>
      </c>
    </row>
    <row r="29" spans="1:15">
      <c r="A29">
        <v>22</v>
      </c>
      <c r="B29" t="s">
        <v>69</v>
      </c>
      <c r="C29">
        <v>133</v>
      </c>
      <c r="D29">
        <v>24</v>
      </c>
      <c r="E29">
        <v>8</v>
      </c>
      <c r="F29">
        <v>8</v>
      </c>
      <c r="G29">
        <v>54</v>
      </c>
      <c r="H29">
        <v>70</v>
      </c>
      <c r="I29">
        <v>16</v>
      </c>
      <c r="J29">
        <v>25</v>
      </c>
      <c r="K29">
        <v>92</v>
      </c>
      <c r="L29">
        <v>0.312</v>
      </c>
      <c r="M29">
        <v>0.34899999999999998</v>
      </c>
      <c r="N29">
        <v>0.46200000000000002</v>
      </c>
      <c r="O29">
        <v>0.81100000000000005</v>
      </c>
    </row>
    <row r="30" spans="1:15">
      <c r="A30">
        <v>23</v>
      </c>
      <c r="B30" t="s">
        <v>70</v>
      </c>
      <c r="C30">
        <v>175</v>
      </c>
      <c r="D30">
        <v>39</v>
      </c>
      <c r="E30">
        <v>10</v>
      </c>
      <c r="F30">
        <v>21</v>
      </c>
      <c r="G30">
        <v>107</v>
      </c>
      <c r="H30">
        <v>108</v>
      </c>
      <c r="I30">
        <v>10</v>
      </c>
      <c r="J30">
        <v>73</v>
      </c>
      <c r="K30">
        <v>138</v>
      </c>
      <c r="L30">
        <v>0.31</v>
      </c>
      <c r="M30">
        <v>0.38300000000000001</v>
      </c>
      <c r="N30">
        <v>0.52700000000000002</v>
      </c>
      <c r="O30">
        <v>0.91</v>
      </c>
    </row>
    <row r="31" spans="1:15">
      <c r="A31">
        <v>24</v>
      </c>
      <c r="B31" t="s">
        <v>71</v>
      </c>
      <c r="C31">
        <v>136</v>
      </c>
      <c r="D31">
        <v>39</v>
      </c>
      <c r="E31">
        <v>2</v>
      </c>
      <c r="F31">
        <v>12</v>
      </c>
      <c r="G31">
        <v>70</v>
      </c>
      <c r="H31">
        <v>78</v>
      </c>
      <c r="I31">
        <v>9</v>
      </c>
      <c r="J31">
        <v>35</v>
      </c>
      <c r="K31">
        <v>59</v>
      </c>
      <c r="L31">
        <v>0.309</v>
      </c>
      <c r="M31">
        <v>0.35899999999999999</v>
      </c>
      <c r="N31">
        <v>0.48899999999999999</v>
      </c>
      <c r="O31">
        <v>0.84799999999999998</v>
      </c>
    </row>
    <row r="32" spans="1:15">
      <c r="A32">
        <v>25</v>
      </c>
      <c r="B32" t="s">
        <v>72</v>
      </c>
      <c r="C32">
        <v>126</v>
      </c>
      <c r="D32">
        <v>27</v>
      </c>
      <c r="E32">
        <v>0</v>
      </c>
      <c r="F32">
        <v>26</v>
      </c>
      <c r="G32">
        <v>89</v>
      </c>
      <c r="H32">
        <v>62</v>
      </c>
      <c r="I32">
        <v>1</v>
      </c>
      <c r="J32">
        <v>50</v>
      </c>
      <c r="K32">
        <v>80</v>
      </c>
      <c r="L32">
        <v>0.30599999999999999</v>
      </c>
      <c r="M32">
        <v>0.378</v>
      </c>
      <c r="N32">
        <v>0.56100000000000005</v>
      </c>
      <c r="O32">
        <v>0.93899999999999995</v>
      </c>
    </row>
    <row r="33" spans="1:15">
      <c r="A33">
        <v>26</v>
      </c>
      <c r="B33" t="s">
        <v>73</v>
      </c>
      <c r="C33">
        <v>136</v>
      </c>
      <c r="D33">
        <v>19</v>
      </c>
      <c r="E33">
        <v>0</v>
      </c>
      <c r="F33">
        <v>13</v>
      </c>
      <c r="G33">
        <v>68</v>
      </c>
      <c r="H33">
        <v>52</v>
      </c>
      <c r="I33">
        <v>0</v>
      </c>
      <c r="J33">
        <v>47</v>
      </c>
      <c r="K33">
        <v>59</v>
      </c>
      <c r="L33">
        <v>0.30599999999999999</v>
      </c>
      <c r="M33">
        <v>0.37</v>
      </c>
      <c r="N33">
        <v>0.436</v>
      </c>
      <c r="O33">
        <v>0.80600000000000005</v>
      </c>
    </row>
    <row r="34" spans="1:15">
      <c r="A34">
        <v>27</v>
      </c>
      <c r="B34" t="s">
        <v>74</v>
      </c>
      <c r="C34">
        <v>136</v>
      </c>
      <c r="D34">
        <v>21</v>
      </c>
      <c r="E34">
        <v>0</v>
      </c>
      <c r="F34">
        <v>14</v>
      </c>
      <c r="G34">
        <v>71</v>
      </c>
      <c r="H34">
        <v>73</v>
      </c>
      <c r="I34">
        <v>3</v>
      </c>
      <c r="J34">
        <v>66</v>
      </c>
      <c r="K34">
        <v>74</v>
      </c>
      <c r="L34">
        <v>0.30399999999999999</v>
      </c>
      <c r="M34">
        <v>0.38900000000000001</v>
      </c>
      <c r="N34">
        <v>0.44500000000000001</v>
      </c>
      <c r="O34">
        <v>0.83399999999999996</v>
      </c>
    </row>
    <row r="35" spans="1:15">
      <c r="A35">
        <v>28</v>
      </c>
      <c r="B35" t="s">
        <v>75</v>
      </c>
      <c r="C35">
        <v>125</v>
      </c>
      <c r="D35">
        <v>9</v>
      </c>
      <c r="E35">
        <v>3</v>
      </c>
      <c r="F35">
        <v>0</v>
      </c>
      <c r="G35">
        <v>24</v>
      </c>
      <c r="H35">
        <v>58</v>
      </c>
      <c r="I35">
        <v>12</v>
      </c>
      <c r="J35">
        <v>26</v>
      </c>
      <c r="K35">
        <v>57</v>
      </c>
      <c r="L35">
        <v>0.30299999999999999</v>
      </c>
      <c r="M35">
        <v>0.34399999999999997</v>
      </c>
      <c r="N35">
        <v>0.34</v>
      </c>
      <c r="O35">
        <v>0.68400000000000005</v>
      </c>
    </row>
    <row r="36" spans="1:15">
      <c r="A36">
        <v>29</v>
      </c>
      <c r="B36" t="s">
        <v>76</v>
      </c>
      <c r="C36">
        <v>128</v>
      </c>
      <c r="D36">
        <v>38</v>
      </c>
      <c r="E36">
        <v>0</v>
      </c>
      <c r="F36">
        <v>15</v>
      </c>
      <c r="G36">
        <v>57</v>
      </c>
      <c r="H36">
        <v>71</v>
      </c>
      <c r="I36">
        <v>10</v>
      </c>
      <c r="J36">
        <v>40</v>
      </c>
      <c r="K36">
        <v>100</v>
      </c>
      <c r="L36">
        <v>0.30299999999999999</v>
      </c>
      <c r="M36">
        <v>0.36099999999999999</v>
      </c>
      <c r="N36">
        <v>0.499</v>
      </c>
      <c r="O36">
        <v>0.85899999999999999</v>
      </c>
    </row>
    <row r="37" spans="1:15">
      <c r="A37">
        <v>30</v>
      </c>
      <c r="B37" t="s">
        <v>77</v>
      </c>
      <c r="C37">
        <v>159</v>
      </c>
      <c r="D37">
        <v>36</v>
      </c>
      <c r="E37">
        <v>3</v>
      </c>
      <c r="F37">
        <v>23</v>
      </c>
      <c r="G37">
        <v>114</v>
      </c>
      <c r="H37">
        <v>90</v>
      </c>
      <c r="I37">
        <v>16</v>
      </c>
      <c r="J37">
        <v>66</v>
      </c>
      <c r="K37">
        <v>65</v>
      </c>
      <c r="L37">
        <v>0.30199999999999999</v>
      </c>
      <c r="M37">
        <v>0.376</v>
      </c>
      <c r="N37">
        <v>0.51300000000000001</v>
      </c>
      <c r="O37">
        <v>0.88900000000000001</v>
      </c>
    </row>
    <row r="38" spans="1:15">
      <c r="A38">
        <v>31</v>
      </c>
      <c r="B38" t="s">
        <v>78</v>
      </c>
      <c r="C38">
        <v>120</v>
      </c>
      <c r="D38">
        <v>16</v>
      </c>
      <c r="E38">
        <v>6</v>
      </c>
      <c r="F38">
        <v>7</v>
      </c>
      <c r="G38">
        <v>57</v>
      </c>
      <c r="H38">
        <v>65</v>
      </c>
      <c r="I38">
        <v>3</v>
      </c>
      <c r="J38">
        <v>47</v>
      </c>
      <c r="K38">
        <v>58</v>
      </c>
      <c r="L38">
        <v>0.30099999999999999</v>
      </c>
      <c r="M38">
        <v>0.37</v>
      </c>
      <c r="N38">
        <v>0.42399999999999999</v>
      </c>
      <c r="O38">
        <v>0.79400000000000004</v>
      </c>
    </row>
    <row r="39" spans="1:15">
      <c r="A39">
        <v>32</v>
      </c>
      <c r="B39" t="s">
        <v>79</v>
      </c>
      <c r="C39">
        <v>138</v>
      </c>
      <c r="D39">
        <v>20</v>
      </c>
      <c r="E39">
        <v>3</v>
      </c>
      <c r="F39">
        <v>27</v>
      </c>
      <c r="G39">
        <v>94</v>
      </c>
      <c r="H39">
        <v>85</v>
      </c>
      <c r="I39">
        <v>1</v>
      </c>
      <c r="J39">
        <v>85</v>
      </c>
      <c r="K39">
        <v>105</v>
      </c>
      <c r="L39">
        <v>0.30099999999999999</v>
      </c>
      <c r="M39">
        <v>0.40500000000000003</v>
      </c>
      <c r="N39">
        <v>0.53400000000000003</v>
      </c>
      <c r="O39">
        <v>0.93799999999999994</v>
      </c>
    </row>
    <row r="40" spans="1:15">
      <c r="A40">
        <v>33</v>
      </c>
      <c r="B40" t="s">
        <v>80</v>
      </c>
      <c r="C40">
        <v>131</v>
      </c>
      <c r="D40">
        <v>24</v>
      </c>
      <c r="E40">
        <v>0</v>
      </c>
      <c r="F40">
        <v>35</v>
      </c>
      <c r="G40">
        <v>111</v>
      </c>
      <c r="H40">
        <v>91</v>
      </c>
      <c r="I40">
        <v>4</v>
      </c>
      <c r="J40">
        <v>77</v>
      </c>
      <c r="K40">
        <v>134</v>
      </c>
      <c r="L40">
        <v>0.3</v>
      </c>
      <c r="M40">
        <v>0.40200000000000002</v>
      </c>
      <c r="N40">
        <v>0.59499999999999997</v>
      </c>
      <c r="O40">
        <v>0.997</v>
      </c>
    </row>
    <row r="41" spans="1:15">
      <c r="A41">
        <v>34</v>
      </c>
      <c r="B41" t="s">
        <v>81</v>
      </c>
      <c r="C41">
        <v>152</v>
      </c>
      <c r="D41">
        <v>19</v>
      </c>
      <c r="E41">
        <v>0</v>
      </c>
      <c r="F41">
        <v>27</v>
      </c>
      <c r="G41">
        <v>90</v>
      </c>
      <c r="H41">
        <v>82</v>
      </c>
      <c r="I41">
        <v>2</v>
      </c>
      <c r="J41">
        <v>64</v>
      </c>
      <c r="K41">
        <v>114</v>
      </c>
      <c r="L41">
        <v>0.29599999999999999</v>
      </c>
      <c r="M41">
        <v>0.372</v>
      </c>
      <c r="N41">
        <v>0.49</v>
      </c>
      <c r="O41">
        <v>0.86199999999999999</v>
      </c>
    </row>
    <row r="42" spans="1:15">
      <c r="A42">
        <v>35</v>
      </c>
      <c r="B42" t="s">
        <v>82</v>
      </c>
      <c r="C42">
        <v>114</v>
      </c>
      <c r="D42">
        <v>17</v>
      </c>
      <c r="E42">
        <v>1</v>
      </c>
      <c r="F42">
        <v>2</v>
      </c>
      <c r="G42">
        <v>35</v>
      </c>
      <c r="H42">
        <v>49</v>
      </c>
      <c r="I42">
        <v>9</v>
      </c>
      <c r="J42">
        <v>50</v>
      </c>
      <c r="K42">
        <v>73</v>
      </c>
      <c r="L42">
        <v>0.29199999999999998</v>
      </c>
      <c r="M42">
        <v>0.372</v>
      </c>
      <c r="N42">
        <v>0.35599999999999998</v>
      </c>
      <c r="O42">
        <v>0.72799999999999998</v>
      </c>
    </row>
    <row r="43" spans="1:15">
      <c r="A43">
        <v>36</v>
      </c>
      <c r="B43" t="s">
        <v>83</v>
      </c>
      <c r="C43">
        <v>122</v>
      </c>
      <c r="D43">
        <v>24</v>
      </c>
      <c r="E43">
        <v>1</v>
      </c>
      <c r="F43">
        <v>19</v>
      </c>
      <c r="G43">
        <v>65</v>
      </c>
      <c r="H43">
        <v>69</v>
      </c>
      <c r="I43">
        <v>0</v>
      </c>
      <c r="J43">
        <v>24</v>
      </c>
      <c r="K43">
        <v>85</v>
      </c>
      <c r="L43">
        <v>0.29099999999999998</v>
      </c>
      <c r="M43">
        <v>0.32900000000000001</v>
      </c>
      <c r="N43">
        <v>0.48899999999999999</v>
      </c>
      <c r="O43">
        <v>0.81799999999999995</v>
      </c>
    </row>
    <row r="44" spans="1:15">
      <c r="A44">
        <v>37</v>
      </c>
      <c r="B44" t="s">
        <v>84</v>
      </c>
      <c r="C44">
        <v>119</v>
      </c>
      <c r="D44">
        <v>15</v>
      </c>
      <c r="E44">
        <v>0</v>
      </c>
      <c r="F44">
        <v>14</v>
      </c>
      <c r="G44">
        <v>82</v>
      </c>
      <c r="H44">
        <v>43</v>
      </c>
      <c r="I44">
        <v>0</v>
      </c>
      <c r="J44">
        <v>50</v>
      </c>
      <c r="K44">
        <v>89</v>
      </c>
      <c r="L44">
        <v>0.29099999999999998</v>
      </c>
      <c r="M44">
        <v>0.36399999999999999</v>
      </c>
      <c r="N44">
        <v>0.43</v>
      </c>
      <c r="O44">
        <v>0.79500000000000004</v>
      </c>
    </row>
    <row r="45" spans="1:15">
      <c r="A45">
        <v>38</v>
      </c>
      <c r="B45" t="s">
        <v>85</v>
      </c>
      <c r="C45">
        <v>135</v>
      </c>
      <c r="D45">
        <v>20</v>
      </c>
      <c r="E45">
        <v>2</v>
      </c>
      <c r="F45">
        <v>19</v>
      </c>
      <c r="G45">
        <v>86</v>
      </c>
      <c r="H45">
        <v>72</v>
      </c>
      <c r="I45">
        <v>3</v>
      </c>
      <c r="J45">
        <v>68</v>
      </c>
      <c r="K45">
        <v>90</v>
      </c>
      <c r="L45">
        <v>0.28599999999999998</v>
      </c>
      <c r="M45">
        <v>0.371</v>
      </c>
      <c r="N45">
        <v>0.45800000000000002</v>
      </c>
      <c r="O45">
        <v>0.82899999999999996</v>
      </c>
    </row>
    <row r="46" spans="1:15">
      <c r="A46">
        <v>39</v>
      </c>
      <c r="B46" t="s">
        <v>86</v>
      </c>
      <c r="C46">
        <v>130</v>
      </c>
      <c r="D46">
        <v>22</v>
      </c>
      <c r="E46">
        <v>1</v>
      </c>
      <c r="F46">
        <v>22</v>
      </c>
      <c r="G46">
        <v>68</v>
      </c>
      <c r="H46">
        <v>62</v>
      </c>
      <c r="I46">
        <v>0</v>
      </c>
      <c r="J46">
        <v>56</v>
      </c>
      <c r="K46">
        <v>104</v>
      </c>
      <c r="L46">
        <v>0.28499999999999998</v>
      </c>
      <c r="M46">
        <v>0.36099999999999999</v>
      </c>
      <c r="N46">
        <v>0.48199999999999998</v>
      </c>
      <c r="O46">
        <v>0.84399999999999997</v>
      </c>
    </row>
    <row r="47" spans="1:15">
      <c r="A47">
        <v>40</v>
      </c>
      <c r="B47" t="s">
        <v>87</v>
      </c>
      <c r="C47">
        <v>123</v>
      </c>
      <c r="D47">
        <v>18</v>
      </c>
      <c r="E47">
        <v>8</v>
      </c>
      <c r="F47">
        <v>11</v>
      </c>
      <c r="G47">
        <v>52</v>
      </c>
      <c r="H47">
        <v>69</v>
      </c>
      <c r="I47">
        <v>7</v>
      </c>
      <c r="J47">
        <v>28</v>
      </c>
      <c r="K47">
        <v>83</v>
      </c>
      <c r="L47">
        <v>0.28499999999999998</v>
      </c>
      <c r="M47">
        <v>0.32800000000000001</v>
      </c>
      <c r="N47">
        <v>0.44</v>
      </c>
      <c r="O47">
        <v>0.76700000000000002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0"/>
  <sheetViews>
    <sheetView zoomScale="85" zoomScaleNormal="85" workbookViewId="0">
      <selection activeCell="F3" sqref="F3:G25"/>
    </sheetView>
  </sheetViews>
  <sheetFormatPr defaultRowHeight="17.399999999999999"/>
  <sheetData>
    <row r="1" spans="1:7">
      <c r="A1" s="96" t="s">
        <v>0</v>
      </c>
      <c r="B1" s="96"/>
      <c r="C1" s="96"/>
      <c r="D1" s="2"/>
      <c r="E1" s="96" t="s">
        <v>1</v>
      </c>
      <c r="F1" s="96"/>
      <c r="G1" s="96"/>
    </row>
    <row r="2" spans="1:7">
      <c r="A2" s="3" t="s">
        <v>2</v>
      </c>
      <c r="B2" s="3" t="s">
        <v>3</v>
      </c>
      <c r="C2" s="3" t="s">
        <v>4</v>
      </c>
      <c r="D2" s="2"/>
      <c r="E2" s="3" t="s">
        <v>2</v>
      </c>
      <c r="F2" s="87" t="s">
        <v>3</v>
      </c>
      <c r="G2" s="87" t="s">
        <v>4</v>
      </c>
    </row>
    <row r="3" spans="1:7">
      <c r="A3" s="3" t="s">
        <v>5</v>
      </c>
      <c r="B3" s="3">
        <v>178</v>
      </c>
      <c r="C3" s="3">
        <v>80</v>
      </c>
      <c r="D3" s="3"/>
      <c r="E3" s="3" t="s">
        <v>5</v>
      </c>
      <c r="F3" s="85"/>
      <c r="G3" s="85"/>
    </row>
    <row r="4" spans="1:7">
      <c r="A4" s="3" t="s">
        <v>6</v>
      </c>
      <c r="B4" s="3">
        <v>184</v>
      </c>
      <c r="C4" s="3">
        <v>80</v>
      </c>
      <c r="D4" s="3"/>
      <c r="E4" s="3" t="s">
        <v>6</v>
      </c>
      <c r="F4" s="85"/>
      <c r="G4" s="85"/>
    </row>
    <row r="5" spans="1:7">
      <c r="A5" s="3" t="s">
        <v>24</v>
      </c>
      <c r="B5" s="3">
        <v>188</v>
      </c>
      <c r="C5" s="3">
        <v>100</v>
      </c>
      <c r="D5" s="3"/>
      <c r="E5" s="3" t="s">
        <v>24</v>
      </c>
      <c r="F5" s="85"/>
      <c r="G5" s="85"/>
    </row>
    <row r="6" spans="1:7">
      <c r="A6" s="3" t="s">
        <v>26</v>
      </c>
      <c r="B6" s="3">
        <v>180</v>
      </c>
      <c r="C6" s="3">
        <v>90</v>
      </c>
      <c r="D6" s="3"/>
      <c r="E6" s="3" t="s">
        <v>26</v>
      </c>
      <c r="F6" s="85"/>
      <c r="G6" s="85"/>
    </row>
    <row r="7" spans="1:7">
      <c r="A7" s="3" t="s">
        <v>27</v>
      </c>
      <c r="B7" s="3">
        <v>185</v>
      </c>
      <c r="C7" s="3">
        <v>90</v>
      </c>
      <c r="D7" s="3"/>
      <c r="E7" s="3" t="s">
        <v>27</v>
      </c>
      <c r="F7" s="85"/>
      <c r="G7" s="85"/>
    </row>
    <row r="8" spans="1:7">
      <c r="A8" s="3" t="s">
        <v>28</v>
      </c>
      <c r="B8" s="3">
        <v>178</v>
      </c>
      <c r="C8" s="3">
        <v>94</v>
      </c>
      <c r="D8" s="3"/>
      <c r="E8" s="3" t="s">
        <v>28</v>
      </c>
      <c r="F8" s="85"/>
      <c r="G8" s="85"/>
    </row>
    <row r="9" spans="1:7">
      <c r="A9" s="3" t="s">
        <v>29</v>
      </c>
      <c r="B9" s="3">
        <v>183</v>
      </c>
      <c r="C9" s="3">
        <v>90</v>
      </c>
      <c r="D9" s="3"/>
      <c r="E9" s="3" t="s">
        <v>29</v>
      </c>
      <c r="F9" s="85"/>
      <c r="G9" s="85"/>
    </row>
    <row r="10" spans="1:7">
      <c r="A10" s="3" t="s">
        <v>30</v>
      </c>
      <c r="B10" s="3">
        <v>180</v>
      </c>
      <c r="C10" s="3">
        <v>100</v>
      </c>
      <c r="D10" s="3"/>
      <c r="E10" s="3" t="s">
        <v>30</v>
      </c>
      <c r="F10" s="85"/>
      <c r="G10" s="85"/>
    </row>
    <row r="11" spans="1:7">
      <c r="A11" s="3" t="s">
        <v>31</v>
      </c>
      <c r="B11" s="3">
        <v>175</v>
      </c>
      <c r="C11" s="3">
        <v>85</v>
      </c>
      <c r="D11" s="3"/>
      <c r="E11" s="3" t="s">
        <v>31</v>
      </c>
      <c r="F11" s="85"/>
      <c r="G11" s="85"/>
    </row>
    <row r="12" spans="1:7">
      <c r="A12" s="3" t="s">
        <v>32</v>
      </c>
      <c r="B12" s="3">
        <v>176</v>
      </c>
      <c r="C12" s="3">
        <v>84</v>
      </c>
      <c r="D12" s="3"/>
      <c r="E12" s="3" t="s">
        <v>32</v>
      </c>
      <c r="F12" s="85"/>
      <c r="G12" s="85"/>
    </row>
    <row r="13" spans="1:7">
      <c r="A13" s="3" t="s">
        <v>33</v>
      </c>
      <c r="B13" s="3">
        <v>183</v>
      </c>
      <c r="C13" s="3">
        <v>80</v>
      </c>
      <c r="D13" s="3"/>
      <c r="E13" s="3" t="s">
        <v>33</v>
      </c>
      <c r="F13" s="85"/>
      <c r="G13" s="85"/>
    </row>
    <row r="14" spans="1:7">
      <c r="A14" s="3" t="s">
        <v>34</v>
      </c>
      <c r="B14" s="3">
        <v>183</v>
      </c>
      <c r="C14" s="3">
        <v>81</v>
      </c>
      <c r="D14" s="3"/>
      <c r="E14" s="3" t="s">
        <v>34</v>
      </c>
      <c r="F14" s="85"/>
      <c r="G14" s="85"/>
    </row>
    <row r="15" spans="1:7">
      <c r="A15" s="3" t="s">
        <v>35</v>
      </c>
      <c r="B15" s="3">
        <v>185</v>
      </c>
      <c r="C15" s="3">
        <v>78</v>
      </c>
      <c r="D15" s="3"/>
      <c r="E15" s="3" t="s">
        <v>35</v>
      </c>
      <c r="F15" s="85"/>
      <c r="G15" s="85"/>
    </row>
    <row r="16" spans="1:7">
      <c r="A16" s="3" t="s">
        <v>36</v>
      </c>
      <c r="B16" s="3">
        <v>184</v>
      </c>
      <c r="C16" s="3">
        <v>91</v>
      </c>
      <c r="D16" s="3"/>
      <c r="E16" s="3" t="s">
        <v>36</v>
      </c>
      <c r="F16" s="85"/>
      <c r="G16" s="85"/>
    </row>
    <row r="17" spans="1:7">
      <c r="A17" s="3" t="s">
        <v>37</v>
      </c>
      <c r="B17" s="3">
        <v>194</v>
      </c>
      <c r="C17" s="3">
        <v>130</v>
      </c>
      <c r="D17" s="3"/>
      <c r="E17" s="3" t="s">
        <v>37</v>
      </c>
      <c r="F17" s="85"/>
      <c r="G17" s="85"/>
    </row>
    <row r="18" spans="1:7">
      <c r="A18" s="3" t="s">
        <v>38</v>
      </c>
      <c r="B18" s="3">
        <v>190</v>
      </c>
      <c r="C18" s="3">
        <v>95</v>
      </c>
      <c r="D18" s="3"/>
      <c r="E18" s="3" t="s">
        <v>38</v>
      </c>
      <c r="F18" s="85"/>
      <c r="G18" s="85"/>
    </row>
    <row r="19" spans="1:7">
      <c r="A19" s="3" t="s">
        <v>39</v>
      </c>
      <c r="B19" s="3">
        <v>180</v>
      </c>
      <c r="C19" s="3">
        <v>84</v>
      </c>
      <c r="D19" s="3"/>
      <c r="E19" s="3" t="s">
        <v>39</v>
      </c>
      <c r="F19" s="85"/>
      <c r="G19" s="85"/>
    </row>
    <row r="20" spans="1:7">
      <c r="A20" s="3" t="s">
        <v>40</v>
      </c>
      <c r="B20" s="3">
        <v>178</v>
      </c>
      <c r="C20" s="3">
        <v>94</v>
      </c>
      <c r="D20" s="3"/>
      <c r="E20" s="3" t="s">
        <v>40</v>
      </c>
      <c r="F20" s="85"/>
      <c r="G20" s="85"/>
    </row>
    <row r="21" spans="1:7">
      <c r="A21" s="3" t="s">
        <v>41</v>
      </c>
      <c r="B21" s="3">
        <v>192</v>
      </c>
      <c r="C21" s="3">
        <v>105</v>
      </c>
      <c r="D21" s="3"/>
      <c r="E21" s="3" t="s">
        <v>41</v>
      </c>
      <c r="F21" s="85"/>
      <c r="G21" s="85"/>
    </row>
    <row r="22" spans="1:7">
      <c r="A22" s="3" t="s">
        <v>42</v>
      </c>
      <c r="B22" s="3">
        <v>180</v>
      </c>
      <c r="C22" s="3">
        <v>86</v>
      </c>
      <c r="D22" s="3"/>
      <c r="E22" s="3" t="s">
        <v>42</v>
      </c>
      <c r="F22" s="85"/>
      <c r="G22" s="85"/>
    </row>
    <row r="23" spans="1:7">
      <c r="A23" s="3" t="s">
        <v>43</v>
      </c>
      <c r="B23" s="85"/>
      <c r="C23" s="85"/>
      <c r="D23" s="3"/>
      <c r="E23" s="3" t="s">
        <v>43</v>
      </c>
      <c r="F23" s="85"/>
      <c r="G23" s="85"/>
    </row>
    <row r="24" spans="1:7">
      <c r="A24" s="3" t="s">
        <v>44</v>
      </c>
      <c r="B24" s="85"/>
      <c r="C24" s="85"/>
      <c r="D24" s="3"/>
      <c r="E24" s="3" t="s">
        <v>44</v>
      </c>
      <c r="F24" s="85"/>
      <c r="G24" s="85"/>
    </row>
    <row r="25" spans="1:7">
      <c r="A25" s="3"/>
      <c r="B25" s="3"/>
      <c r="C25" s="3"/>
      <c r="D25" s="3"/>
      <c r="E25" s="3"/>
      <c r="F25" s="3"/>
      <c r="G25" s="3"/>
    </row>
    <row r="26" spans="1:7">
      <c r="A26" s="5"/>
      <c r="B26" s="5"/>
      <c r="C26" s="5"/>
      <c r="D26" s="5"/>
    </row>
    <row r="27" spans="1:7">
      <c r="A27" s="5"/>
      <c r="B27" s="5"/>
      <c r="C27" s="5"/>
      <c r="D27" s="5"/>
    </row>
    <row r="28" spans="1:7">
      <c r="A28" s="5"/>
      <c r="B28" s="5"/>
      <c r="C28" s="5"/>
      <c r="D28" s="5"/>
    </row>
    <row r="46" spans="1:7">
      <c r="A46" s="3" t="s">
        <v>8</v>
      </c>
      <c r="B46" s="3" t="s">
        <v>9</v>
      </c>
      <c r="C46" s="3" t="s">
        <v>10</v>
      </c>
      <c r="D46" s="2"/>
      <c r="E46" s="3" t="str">
        <f>$A46</f>
        <v>선수</v>
      </c>
      <c r="F46" s="3" t="str">
        <f t="shared" ref="F46:G48" si="0">$A46</f>
        <v>선수</v>
      </c>
      <c r="G46" s="3" t="str">
        <f t="shared" si="0"/>
        <v>선수</v>
      </c>
    </row>
    <row r="47" spans="1:7">
      <c r="A47" s="3" t="s">
        <v>25</v>
      </c>
      <c r="B47" s="3">
        <v>178</v>
      </c>
      <c r="C47" s="3">
        <v>80</v>
      </c>
      <c r="D47" s="3"/>
      <c r="E47" s="3" t="str">
        <f>$A47</f>
        <v>김선빈</v>
      </c>
      <c r="F47" s="3" t="str">
        <f t="shared" si="0"/>
        <v>김선빈</v>
      </c>
      <c r="G47" s="3" t="str">
        <f t="shared" si="0"/>
        <v>김선빈</v>
      </c>
    </row>
    <row r="48" spans="1:7">
      <c r="A48" s="3" t="s">
        <v>6</v>
      </c>
      <c r="B48" s="3">
        <v>184</v>
      </c>
      <c r="C48" s="3">
        <v>80</v>
      </c>
      <c r="D48" s="3"/>
      <c r="E48" s="3" t="str">
        <f>$A48</f>
        <v>박건우</v>
      </c>
      <c r="F48" s="3" t="str">
        <f t="shared" si="0"/>
        <v>박건우</v>
      </c>
      <c r="G48" s="3" t="str">
        <f t="shared" si="0"/>
        <v>박건우</v>
      </c>
    </row>
    <row r="50" spans="1:7">
      <c r="A50" s="3" t="s">
        <v>8</v>
      </c>
      <c r="B50" s="3" t="s">
        <v>9</v>
      </c>
      <c r="C50" s="3" t="s">
        <v>10</v>
      </c>
      <c r="D50" s="2"/>
      <c r="E50" s="3"/>
      <c r="F50" s="3"/>
      <c r="G50" s="3"/>
    </row>
    <row r="51" spans="1:7">
      <c r="A51" s="3" t="s">
        <v>25</v>
      </c>
      <c r="B51" s="3">
        <v>178</v>
      </c>
      <c r="C51" s="3">
        <v>80</v>
      </c>
      <c r="D51" s="3"/>
      <c r="E51" s="3"/>
      <c r="F51" s="3"/>
      <c r="G51" s="3"/>
    </row>
    <row r="52" spans="1:7">
      <c r="A52" s="3" t="s">
        <v>6</v>
      </c>
      <c r="B52" s="3">
        <v>184</v>
      </c>
      <c r="C52" s="3">
        <v>80</v>
      </c>
      <c r="D52" s="3"/>
      <c r="E52" s="3"/>
      <c r="F52" s="3"/>
      <c r="G52" s="3"/>
    </row>
    <row r="54" spans="1:7">
      <c r="A54" s="3" t="s">
        <v>8</v>
      </c>
      <c r="B54" s="3" t="s">
        <v>9</v>
      </c>
      <c r="C54" s="3" t="s">
        <v>10</v>
      </c>
      <c r="D54" s="2"/>
      <c r="E54" s="3" t="str">
        <f>A$54</f>
        <v>선수</v>
      </c>
      <c r="F54" s="3"/>
      <c r="G54" s="3"/>
    </row>
    <row r="55" spans="1:7">
      <c r="A55" s="3" t="s">
        <v>25</v>
      </c>
      <c r="B55" s="3">
        <v>178</v>
      </c>
      <c r="C55" s="3">
        <v>80</v>
      </c>
      <c r="D55" s="3"/>
      <c r="E55" s="3"/>
      <c r="F55" s="3"/>
      <c r="G55" s="3"/>
    </row>
    <row r="56" spans="1:7">
      <c r="A56" s="3" t="s">
        <v>6</v>
      </c>
      <c r="B56" s="3">
        <v>184</v>
      </c>
      <c r="C56" s="3">
        <v>80</v>
      </c>
      <c r="D56" s="3"/>
      <c r="E56" s="3"/>
      <c r="F56" s="3"/>
      <c r="G56" s="3"/>
    </row>
    <row r="58" spans="1:7">
      <c r="A58" s="3" t="s">
        <v>8</v>
      </c>
      <c r="B58" s="3" t="s">
        <v>9</v>
      </c>
      <c r="C58" s="3" t="s">
        <v>10</v>
      </c>
      <c r="D58" s="2"/>
      <c r="E58" s="3" t="str">
        <f>$A58</f>
        <v>선수</v>
      </c>
      <c r="F58" s="3"/>
      <c r="G58" s="3"/>
    </row>
    <row r="59" spans="1:7">
      <c r="A59" s="3" t="s">
        <v>25</v>
      </c>
      <c r="B59" s="3">
        <v>178</v>
      </c>
      <c r="C59" s="3">
        <v>80</v>
      </c>
      <c r="D59" s="3"/>
      <c r="E59" s="3"/>
      <c r="F59" s="3"/>
      <c r="G59" s="3"/>
    </row>
    <row r="60" spans="1:7">
      <c r="A60" s="3" t="s">
        <v>6</v>
      </c>
      <c r="B60" s="3">
        <v>184</v>
      </c>
      <c r="C60" s="3">
        <v>80</v>
      </c>
      <c r="D60" s="3"/>
      <c r="E60" s="3"/>
      <c r="F60" s="3"/>
      <c r="G60" s="3"/>
    </row>
  </sheetData>
  <mergeCells count="2">
    <mergeCell ref="A1:C1"/>
    <mergeCell ref="E1:G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"/>
  <sheetViews>
    <sheetView topLeftCell="A25" zoomScale="55" zoomScaleNormal="55" workbookViewId="0">
      <selection activeCell="G57" sqref="G57"/>
    </sheetView>
  </sheetViews>
  <sheetFormatPr defaultRowHeight="17.399999999999999"/>
  <cols>
    <col min="1" max="1" width="9.19921875" style="6" bestFit="1" customWidth="1"/>
    <col min="2" max="2" width="8.09765625" style="6" bestFit="1" customWidth="1"/>
    <col min="3" max="3" width="13.5" style="6" bestFit="1" customWidth="1"/>
    <col min="4" max="4" width="8.796875" style="6"/>
    <col min="5" max="5" width="13.5" style="6" bestFit="1" customWidth="1"/>
    <col min="6" max="6" width="8" style="6" bestFit="1" customWidth="1"/>
    <col min="7" max="7" width="14.69921875" style="6" bestFit="1" customWidth="1"/>
    <col min="8" max="8" width="9.8984375" style="6" bestFit="1" customWidth="1"/>
    <col min="9" max="16384" width="8.796875" style="6"/>
  </cols>
  <sheetData>
    <row r="1" spans="1:8">
      <c r="A1" s="6" t="s">
        <v>151</v>
      </c>
      <c r="B1" s="6" t="s">
        <v>152</v>
      </c>
      <c r="C1" s="6" t="s">
        <v>153</v>
      </c>
      <c r="E1" s="6" t="s">
        <v>151</v>
      </c>
      <c r="F1" s="6" t="s">
        <v>154</v>
      </c>
      <c r="G1" s="6" t="s">
        <v>155</v>
      </c>
      <c r="H1" s="6" t="s">
        <v>156</v>
      </c>
    </row>
    <row r="2" spans="1:8">
      <c r="A2" s="6" t="s">
        <v>157</v>
      </c>
      <c r="B2" s="6">
        <v>178</v>
      </c>
      <c r="C2" s="6">
        <v>80</v>
      </c>
      <c r="E2" s="6" t="s">
        <v>157</v>
      </c>
      <c r="F2" s="95"/>
      <c r="G2" s="95"/>
      <c r="H2" s="94"/>
    </row>
    <row r="3" spans="1:8">
      <c r="A3" s="6" t="s">
        <v>158</v>
      </c>
      <c r="B3" s="6">
        <v>184</v>
      </c>
      <c r="C3" s="6">
        <v>80</v>
      </c>
      <c r="E3" s="6" t="s">
        <v>158</v>
      </c>
      <c r="F3" s="95"/>
      <c r="G3" s="95"/>
      <c r="H3" s="94"/>
    </row>
    <row r="4" spans="1:8">
      <c r="A4" s="6" t="s">
        <v>159</v>
      </c>
      <c r="B4" s="6">
        <v>188</v>
      </c>
      <c r="C4" s="6">
        <v>100</v>
      </c>
      <c r="E4" s="6" t="s">
        <v>159</v>
      </c>
      <c r="F4" s="95"/>
      <c r="G4" s="95"/>
      <c r="H4" s="94"/>
    </row>
    <row r="5" spans="1:8">
      <c r="A5" s="6" t="s">
        <v>160</v>
      </c>
      <c r="B5" s="6">
        <v>180</v>
      </c>
      <c r="C5" s="6">
        <v>90</v>
      </c>
      <c r="E5" s="6" t="s">
        <v>160</v>
      </c>
      <c r="F5" s="95"/>
      <c r="G5" s="95"/>
      <c r="H5" s="94"/>
    </row>
    <row r="6" spans="1:8">
      <c r="A6" s="6" t="s">
        <v>161</v>
      </c>
      <c r="B6" s="6">
        <v>185</v>
      </c>
      <c r="C6" s="6">
        <v>90</v>
      </c>
      <c r="E6" s="6" t="s">
        <v>161</v>
      </c>
      <c r="F6" s="95"/>
      <c r="G6" s="95"/>
      <c r="H6" s="94"/>
    </row>
    <row r="7" spans="1:8">
      <c r="A7" s="6" t="s">
        <v>162</v>
      </c>
      <c r="B7" s="6">
        <v>178</v>
      </c>
      <c r="C7" s="6">
        <v>94</v>
      </c>
      <c r="E7" s="6" t="s">
        <v>162</v>
      </c>
      <c r="F7" s="95"/>
      <c r="G7" s="95"/>
      <c r="H7" s="94"/>
    </row>
    <row r="8" spans="1:8">
      <c r="A8" s="6" t="s">
        <v>163</v>
      </c>
      <c r="B8" s="6">
        <v>183</v>
      </c>
      <c r="C8" s="6">
        <v>90</v>
      </c>
      <c r="E8" s="6" t="s">
        <v>163</v>
      </c>
      <c r="F8" s="95"/>
      <c r="G8" s="95"/>
      <c r="H8" s="94"/>
    </row>
    <row r="9" spans="1:8">
      <c r="A9" s="6" t="s">
        <v>164</v>
      </c>
      <c r="B9" s="6">
        <v>180</v>
      </c>
      <c r="C9" s="6">
        <v>100</v>
      </c>
      <c r="E9" s="6" t="s">
        <v>164</v>
      </c>
      <c r="F9" s="95"/>
      <c r="G9" s="95"/>
      <c r="H9" s="94"/>
    </row>
    <row r="10" spans="1:8">
      <c r="A10" s="6" t="s">
        <v>165</v>
      </c>
      <c r="B10" s="6">
        <v>175</v>
      </c>
      <c r="C10" s="6">
        <v>85</v>
      </c>
      <c r="E10" s="6" t="s">
        <v>165</v>
      </c>
      <c r="F10" s="95"/>
      <c r="G10" s="95"/>
      <c r="H10" s="94"/>
    </row>
    <row r="11" spans="1:8">
      <c r="A11" s="6" t="s">
        <v>166</v>
      </c>
      <c r="B11" s="6">
        <v>176</v>
      </c>
      <c r="C11" s="6">
        <v>84</v>
      </c>
      <c r="E11" s="6" t="s">
        <v>166</v>
      </c>
      <c r="F11" s="95"/>
      <c r="G11" s="95"/>
      <c r="H11" s="94"/>
    </row>
    <row r="12" spans="1:8">
      <c r="A12" s="6" t="s">
        <v>167</v>
      </c>
      <c r="B12" s="6">
        <v>183</v>
      </c>
      <c r="C12" s="6">
        <v>80</v>
      </c>
      <c r="E12" s="6" t="s">
        <v>167</v>
      </c>
      <c r="F12" s="95"/>
      <c r="G12" s="95"/>
      <c r="H12" s="94"/>
    </row>
    <row r="13" spans="1:8">
      <c r="A13" s="6" t="s">
        <v>168</v>
      </c>
      <c r="B13" s="6">
        <v>183</v>
      </c>
      <c r="C13" s="6">
        <v>81</v>
      </c>
      <c r="E13" s="6" t="s">
        <v>168</v>
      </c>
      <c r="F13" s="95"/>
      <c r="G13" s="95"/>
      <c r="H13" s="94"/>
    </row>
    <row r="14" spans="1:8">
      <c r="A14" s="6" t="s">
        <v>169</v>
      </c>
      <c r="B14" s="6">
        <v>185</v>
      </c>
      <c r="C14" s="6">
        <v>78</v>
      </c>
      <c r="E14" s="6" t="s">
        <v>169</v>
      </c>
      <c r="F14" s="95"/>
      <c r="G14" s="95"/>
      <c r="H14" s="94"/>
    </row>
    <row r="15" spans="1:8">
      <c r="A15" s="6" t="s">
        <v>170</v>
      </c>
      <c r="B15" s="6">
        <v>184</v>
      </c>
      <c r="C15" s="6">
        <v>91</v>
      </c>
      <c r="E15" s="6" t="s">
        <v>170</v>
      </c>
      <c r="F15" s="95"/>
      <c r="G15" s="95"/>
      <c r="H15" s="94"/>
    </row>
    <row r="16" spans="1:8">
      <c r="A16" s="6" t="s">
        <v>171</v>
      </c>
      <c r="B16" s="6">
        <v>194</v>
      </c>
      <c r="C16" s="6">
        <v>130</v>
      </c>
      <c r="E16" s="6" t="s">
        <v>171</v>
      </c>
      <c r="F16" s="95"/>
      <c r="G16" s="95"/>
      <c r="H16" s="94"/>
    </row>
    <row r="17" spans="1:8">
      <c r="A17" s="6" t="s">
        <v>172</v>
      </c>
      <c r="B17" s="6">
        <v>190</v>
      </c>
      <c r="C17" s="6">
        <v>95</v>
      </c>
      <c r="E17" s="6" t="s">
        <v>172</v>
      </c>
      <c r="F17" s="95"/>
      <c r="G17" s="95"/>
      <c r="H17" s="94"/>
    </row>
    <row r="18" spans="1:8">
      <c r="A18" s="6" t="s">
        <v>173</v>
      </c>
      <c r="B18" s="6">
        <v>180</v>
      </c>
      <c r="C18" s="6">
        <v>84</v>
      </c>
      <c r="E18" s="6" t="s">
        <v>173</v>
      </c>
      <c r="F18" s="95"/>
      <c r="G18" s="95"/>
      <c r="H18" s="94"/>
    </row>
    <row r="19" spans="1:8">
      <c r="A19" s="6" t="s">
        <v>174</v>
      </c>
      <c r="B19" s="6">
        <v>178</v>
      </c>
      <c r="C19" s="6">
        <v>94</v>
      </c>
      <c r="E19" s="6" t="s">
        <v>174</v>
      </c>
      <c r="F19" s="95"/>
      <c r="G19" s="95"/>
      <c r="H19" s="94"/>
    </row>
    <row r="20" spans="1:8">
      <c r="A20" s="6" t="s">
        <v>175</v>
      </c>
      <c r="B20" s="6">
        <v>192</v>
      </c>
      <c r="C20" s="6">
        <v>105</v>
      </c>
      <c r="E20" s="6" t="s">
        <v>175</v>
      </c>
      <c r="F20" s="95"/>
      <c r="G20" s="95"/>
      <c r="H20" s="94"/>
    </row>
    <row r="21" spans="1:8">
      <c r="A21" s="6" t="s">
        <v>176</v>
      </c>
      <c r="B21" s="6">
        <v>180</v>
      </c>
      <c r="C21" s="6">
        <v>86</v>
      </c>
      <c r="E21" s="6" t="s">
        <v>176</v>
      </c>
      <c r="F21" s="95"/>
      <c r="G21" s="95"/>
      <c r="H21" s="94"/>
    </row>
    <row r="22" spans="1:8">
      <c r="A22" s="6" t="s">
        <v>177</v>
      </c>
      <c r="B22" s="7">
        <f>AVERAGE(B2:B21)</f>
        <v>182.8</v>
      </c>
      <c r="C22" s="7">
        <f>AVERAGE(C2:C21)</f>
        <v>90.85</v>
      </c>
      <c r="F22" s="7"/>
      <c r="G22" s="7" t="s">
        <v>178</v>
      </c>
      <c r="H22" s="94"/>
    </row>
    <row r="23" spans="1:8">
      <c r="B23" s="7"/>
      <c r="C23" s="7"/>
      <c r="G23" s="1" t="s">
        <v>179</v>
      </c>
      <c r="H23" s="8"/>
    </row>
    <row r="25" spans="1:8">
      <c r="G25" s="1" t="s">
        <v>180</v>
      </c>
      <c r="H25" s="8"/>
    </row>
    <row r="27" spans="1:8">
      <c r="H27" s="7"/>
    </row>
    <row r="29" spans="1:8">
      <c r="H29" s="7"/>
    </row>
    <row r="30" spans="1:8">
      <c r="H30" s="7"/>
    </row>
    <row r="35" spans="1:7">
      <c r="A35" s="6" t="s">
        <v>181</v>
      </c>
      <c r="B35" s="6" t="s">
        <v>182</v>
      </c>
      <c r="C35" s="6" t="s">
        <v>183</v>
      </c>
      <c r="E35" s="6" t="s">
        <v>181</v>
      </c>
      <c r="F35" s="6" t="s">
        <v>184</v>
      </c>
      <c r="G35" s="6" t="s">
        <v>185</v>
      </c>
    </row>
    <row r="36" spans="1:7">
      <c r="A36" s="6" t="s">
        <v>186</v>
      </c>
      <c r="B36" s="6">
        <v>178</v>
      </c>
      <c r="C36" s="6">
        <v>80</v>
      </c>
      <c r="E36" s="6" t="s">
        <v>186</v>
      </c>
      <c r="F36" s="6">
        <f t="shared" ref="F36:F55" si="0">B2/100</f>
        <v>1.78</v>
      </c>
      <c r="G36" s="6">
        <f t="shared" ref="G36:G55" si="1">C2*1000</f>
        <v>80000</v>
      </c>
    </row>
    <row r="37" spans="1:7">
      <c r="A37" s="6" t="s">
        <v>187</v>
      </c>
      <c r="B37" s="6">
        <v>184</v>
      </c>
      <c r="C37" s="6">
        <v>80</v>
      </c>
      <c r="E37" s="6" t="s">
        <v>187</v>
      </c>
      <c r="F37" s="6">
        <f t="shared" si="0"/>
        <v>1.84</v>
      </c>
      <c r="G37" s="6">
        <f t="shared" si="1"/>
        <v>80000</v>
      </c>
    </row>
    <row r="38" spans="1:7">
      <c r="A38" s="6" t="s">
        <v>101</v>
      </c>
      <c r="B38" s="6">
        <v>188</v>
      </c>
      <c r="C38" s="6">
        <v>100</v>
      </c>
      <c r="E38" s="6" t="s">
        <v>101</v>
      </c>
      <c r="F38" s="6">
        <f t="shared" si="0"/>
        <v>1.88</v>
      </c>
      <c r="G38" s="6">
        <f t="shared" si="1"/>
        <v>100000</v>
      </c>
    </row>
    <row r="39" spans="1:7">
      <c r="A39" s="6" t="s">
        <v>102</v>
      </c>
      <c r="B39" s="6">
        <v>180</v>
      </c>
      <c r="C39" s="6">
        <v>90</v>
      </c>
      <c r="E39" s="6" t="s">
        <v>102</v>
      </c>
      <c r="F39" s="6">
        <f t="shared" si="0"/>
        <v>1.8</v>
      </c>
      <c r="G39" s="6">
        <f t="shared" si="1"/>
        <v>90000</v>
      </c>
    </row>
    <row r="40" spans="1:7">
      <c r="A40" s="6" t="s">
        <v>103</v>
      </c>
      <c r="B40" s="6">
        <v>185</v>
      </c>
      <c r="C40" s="6">
        <v>90</v>
      </c>
      <c r="E40" s="6" t="s">
        <v>103</v>
      </c>
      <c r="F40" s="6">
        <f t="shared" si="0"/>
        <v>1.85</v>
      </c>
      <c r="G40" s="6">
        <f t="shared" si="1"/>
        <v>90000</v>
      </c>
    </row>
    <row r="41" spans="1:7">
      <c r="A41" s="6" t="s">
        <v>104</v>
      </c>
      <c r="B41" s="6">
        <v>178</v>
      </c>
      <c r="C41" s="6">
        <v>94</v>
      </c>
      <c r="E41" s="6" t="s">
        <v>104</v>
      </c>
      <c r="F41" s="6">
        <f t="shared" si="0"/>
        <v>1.78</v>
      </c>
      <c r="G41" s="6">
        <f t="shared" si="1"/>
        <v>94000</v>
      </c>
    </row>
    <row r="42" spans="1:7">
      <c r="A42" s="6" t="s">
        <v>105</v>
      </c>
      <c r="B42" s="6">
        <v>183</v>
      </c>
      <c r="C42" s="6">
        <v>90</v>
      </c>
      <c r="E42" s="6" t="s">
        <v>105</v>
      </c>
      <c r="F42" s="6">
        <f t="shared" si="0"/>
        <v>1.83</v>
      </c>
      <c r="G42" s="6">
        <f t="shared" si="1"/>
        <v>90000</v>
      </c>
    </row>
    <row r="43" spans="1:7">
      <c r="A43" s="6" t="s">
        <v>107</v>
      </c>
      <c r="B43" s="6">
        <v>180</v>
      </c>
      <c r="C43" s="6">
        <v>100</v>
      </c>
      <c r="E43" s="6" t="s">
        <v>107</v>
      </c>
      <c r="F43" s="6">
        <f t="shared" si="0"/>
        <v>1.8</v>
      </c>
      <c r="G43" s="6">
        <f t="shared" si="1"/>
        <v>100000</v>
      </c>
    </row>
    <row r="44" spans="1:7">
      <c r="A44" s="6" t="s">
        <v>109</v>
      </c>
      <c r="B44" s="6">
        <v>175</v>
      </c>
      <c r="C44" s="6">
        <v>85</v>
      </c>
      <c r="E44" s="6" t="s">
        <v>109</v>
      </c>
      <c r="F44" s="6">
        <f t="shared" si="0"/>
        <v>1.75</v>
      </c>
      <c r="G44" s="6">
        <f t="shared" si="1"/>
        <v>85000</v>
      </c>
    </row>
    <row r="45" spans="1:7">
      <c r="A45" s="6" t="s">
        <v>111</v>
      </c>
      <c r="B45" s="6">
        <v>176</v>
      </c>
      <c r="C45" s="6">
        <v>84</v>
      </c>
      <c r="E45" s="6" t="s">
        <v>111</v>
      </c>
      <c r="F45" s="6">
        <f t="shared" si="0"/>
        <v>1.76</v>
      </c>
      <c r="G45" s="6">
        <f t="shared" si="1"/>
        <v>84000</v>
      </c>
    </row>
    <row r="46" spans="1:7">
      <c r="A46" s="6" t="s">
        <v>113</v>
      </c>
      <c r="B46" s="6">
        <v>183</v>
      </c>
      <c r="C46" s="6">
        <v>80</v>
      </c>
      <c r="E46" s="6" t="s">
        <v>113</v>
      </c>
      <c r="F46" s="6">
        <f t="shared" si="0"/>
        <v>1.83</v>
      </c>
      <c r="G46" s="6">
        <f t="shared" si="1"/>
        <v>80000</v>
      </c>
    </row>
    <row r="47" spans="1:7">
      <c r="A47" s="6" t="s">
        <v>188</v>
      </c>
      <c r="B47" s="6">
        <v>183</v>
      </c>
      <c r="C47" s="6">
        <v>81</v>
      </c>
      <c r="E47" s="6" t="s">
        <v>188</v>
      </c>
      <c r="F47" s="6">
        <f t="shared" si="0"/>
        <v>1.83</v>
      </c>
      <c r="G47" s="6">
        <f t="shared" si="1"/>
        <v>81000</v>
      </c>
    </row>
    <row r="48" spans="1:7">
      <c r="A48" s="6" t="s">
        <v>117</v>
      </c>
      <c r="B48" s="6">
        <v>185</v>
      </c>
      <c r="C48" s="6">
        <v>78</v>
      </c>
      <c r="E48" s="6" t="s">
        <v>117</v>
      </c>
      <c r="F48" s="6">
        <f t="shared" si="0"/>
        <v>1.85</v>
      </c>
      <c r="G48" s="6">
        <f t="shared" si="1"/>
        <v>78000</v>
      </c>
    </row>
    <row r="49" spans="1:8">
      <c r="A49" s="6" t="s">
        <v>119</v>
      </c>
      <c r="B49" s="6">
        <v>184</v>
      </c>
      <c r="C49" s="6">
        <v>91</v>
      </c>
      <c r="E49" s="6" t="s">
        <v>119</v>
      </c>
      <c r="F49" s="6">
        <f t="shared" si="0"/>
        <v>1.84</v>
      </c>
      <c r="G49" s="6">
        <f t="shared" si="1"/>
        <v>91000</v>
      </c>
    </row>
    <row r="50" spans="1:8">
      <c r="A50" s="6" t="s">
        <v>189</v>
      </c>
      <c r="B50" s="6">
        <v>194</v>
      </c>
      <c r="C50" s="6">
        <v>130</v>
      </c>
      <c r="E50" s="6" t="s">
        <v>189</v>
      </c>
      <c r="F50" s="6">
        <f t="shared" si="0"/>
        <v>1.94</v>
      </c>
      <c r="G50" s="6">
        <f t="shared" si="1"/>
        <v>130000</v>
      </c>
    </row>
    <row r="51" spans="1:8">
      <c r="A51" s="6" t="s">
        <v>123</v>
      </c>
      <c r="B51" s="6">
        <v>190</v>
      </c>
      <c r="C51" s="6">
        <v>95</v>
      </c>
      <c r="E51" s="6" t="s">
        <v>123</v>
      </c>
      <c r="F51" s="6">
        <f t="shared" si="0"/>
        <v>1.9</v>
      </c>
      <c r="G51" s="6">
        <f t="shared" si="1"/>
        <v>95000</v>
      </c>
    </row>
    <row r="52" spans="1:8">
      <c r="A52" s="6" t="s">
        <v>125</v>
      </c>
      <c r="B52" s="6">
        <v>180</v>
      </c>
      <c r="C52" s="6">
        <v>84</v>
      </c>
      <c r="E52" s="6" t="s">
        <v>125</v>
      </c>
      <c r="F52" s="6">
        <f t="shared" si="0"/>
        <v>1.8</v>
      </c>
      <c r="G52" s="6">
        <f t="shared" si="1"/>
        <v>84000</v>
      </c>
    </row>
    <row r="53" spans="1:8">
      <c r="A53" s="6" t="s">
        <v>127</v>
      </c>
      <c r="B53" s="6">
        <v>178</v>
      </c>
      <c r="C53" s="6">
        <v>94</v>
      </c>
      <c r="E53" s="6" t="s">
        <v>127</v>
      </c>
      <c r="F53" s="6">
        <f t="shared" si="0"/>
        <v>1.78</v>
      </c>
      <c r="G53" s="6">
        <f t="shared" si="1"/>
        <v>94000</v>
      </c>
    </row>
    <row r="54" spans="1:8">
      <c r="A54" s="6" t="s">
        <v>129</v>
      </c>
      <c r="B54" s="6">
        <v>192</v>
      </c>
      <c r="C54" s="6">
        <v>105</v>
      </c>
      <c r="E54" s="6" t="s">
        <v>129</v>
      </c>
      <c r="F54" s="6">
        <f t="shared" si="0"/>
        <v>1.92</v>
      </c>
      <c r="G54" s="6">
        <f t="shared" si="1"/>
        <v>105000</v>
      </c>
    </row>
    <row r="55" spans="1:8">
      <c r="A55" s="6" t="s">
        <v>131</v>
      </c>
      <c r="B55" s="6">
        <v>180</v>
      </c>
      <c r="C55" s="6">
        <v>86</v>
      </c>
      <c r="E55" s="6" t="s">
        <v>131</v>
      </c>
      <c r="F55" s="6">
        <f t="shared" si="0"/>
        <v>1.8</v>
      </c>
      <c r="G55" s="6">
        <f t="shared" si="1"/>
        <v>86000</v>
      </c>
    </row>
    <row r="56" spans="1:8">
      <c r="B56" s="7"/>
      <c r="C56" s="7"/>
      <c r="F56" s="7"/>
      <c r="G56" s="7"/>
    </row>
    <row r="57" spans="1:8">
      <c r="B57" s="1" t="s">
        <v>190</v>
      </c>
      <c r="C57" s="8"/>
      <c r="F57" s="1" t="s">
        <v>190</v>
      </c>
      <c r="G57" s="8"/>
    </row>
    <row r="58" spans="1:8">
      <c r="H58" s="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0"/>
  <sheetViews>
    <sheetView topLeftCell="A34" zoomScale="70" zoomScaleNormal="70" workbookViewId="0">
      <selection activeCell="G57" sqref="G57"/>
    </sheetView>
  </sheetViews>
  <sheetFormatPr defaultRowHeight="17.399999999999999"/>
  <cols>
    <col min="1" max="2" width="9.19921875" bestFit="1" customWidth="1"/>
    <col min="3" max="3" width="10.69921875" bestFit="1" customWidth="1"/>
    <col min="5" max="5" width="9.19921875" bestFit="1" customWidth="1"/>
    <col min="6" max="6" width="9.8984375" bestFit="1" customWidth="1"/>
    <col min="7" max="7" width="14.69921875" bestFit="1" customWidth="1"/>
    <col min="8" max="8" width="18.796875" bestFit="1" customWidth="1"/>
  </cols>
  <sheetData>
    <row r="1" spans="1:8">
      <c r="A1" s="6" t="s">
        <v>93</v>
      </c>
      <c r="B1" s="6" t="s">
        <v>94</v>
      </c>
      <c r="C1" s="6" t="s">
        <v>95</v>
      </c>
      <c r="D1" s="6"/>
      <c r="E1" s="6" t="s">
        <v>93</v>
      </c>
      <c r="F1" s="6" t="s">
        <v>96</v>
      </c>
      <c r="G1" s="6" t="s">
        <v>97</v>
      </c>
      <c r="H1" s="6" t="s">
        <v>98</v>
      </c>
    </row>
    <row r="2" spans="1:8">
      <c r="A2" s="6" t="s">
        <v>99</v>
      </c>
      <c r="B2" s="6">
        <v>178</v>
      </c>
      <c r="C2" s="6">
        <v>80</v>
      </c>
      <c r="D2" s="6"/>
      <c r="E2" s="6" t="s">
        <v>99</v>
      </c>
      <c r="F2" s="95"/>
      <c r="G2" s="95"/>
      <c r="H2" s="95"/>
    </row>
    <row r="3" spans="1:8">
      <c r="A3" s="6" t="s">
        <v>100</v>
      </c>
      <c r="B3" s="6">
        <v>184</v>
      </c>
      <c r="C3" s="6">
        <v>80</v>
      </c>
      <c r="D3" s="6"/>
      <c r="E3" s="6" t="s">
        <v>100</v>
      </c>
      <c r="F3" s="95"/>
      <c r="G3" s="95"/>
      <c r="H3" s="95"/>
    </row>
    <row r="4" spans="1:8">
      <c r="A4" s="6" t="s">
        <v>101</v>
      </c>
      <c r="B4" s="6">
        <v>188</v>
      </c>
      <c r="C4" s="6">
        <v>100</v>
      </c>
      <c r="D4" s="6"/>
      <c r="E4" s="6" t="s">
        <v>101</v>
      </c>
      <c r="F4" s="95"/>
      <c r="G4" s="95"/>
      <c r="H4" s="95"/>
    </row>
    <row r="5" spans="1:8">
      <c r="A5" s="6" t="s">
        <v>102</v>
      </c>
      <c r="B5" s="6">
        <v>180</v>
      </c>
      <c r="C5" s="6">
        <v>90</v>
      </c>
      <c r="D5" s="6"/>
      <c r="E5" s="6" t="s">
        <v>102</v>
      </c>
      <c r="F5" s="95"/>
      <c r="G5" s="95"/>
      <c r="H5" s="95"/>
    </row>
    <row r="6" spans="1:8">
      <c r="A6" s="6" t="s">
        <v>103</v>
      </c>
      <c r="B6" s="6">
        <v>185</v>
      </c>
      <c r="C6" s="6">
        <v>90</v>
      </c>
      <c r="D6" s="6"/>
      <c r="E6" s="6" t="s">
        <v>103</v>
      </c>
      <c r="F6" s="95"/>
      <c r="G6" s="95"/>
      <c r="H6" s="95"/>
    </row>
    <row r="7" spans="1:8">
      <c r="A7" s="6" t="s">
        <v>104</v>
      </c>
      <c r="B7" s="6">
        <v>178</v>
      </c>
      <c r="C7" s="6">
        <v>94</v>
      </c>
      <c r="D7" s="6"/>
      <c r="E7" s="6" t="s">
        <v>104</v>
      </c>
      <c r="F7" s="95"/>
      <c r="G7" s="95"/>
      <c r="H7" s="95"/>
    </row>
    <row r="8" spans="1:8">
      <c r="A8" s="6" t="s">
        <v>106</v>
      </c>
      <c r="B8" s="6">
        <v>183</v>
      </c>
      <c r="C8" s="6">
        <v>90</v>
      </c>
      <c r="D8" s="6"/>
      <c r="E8" s="6" t="s">
        <v>106</v>
      </c>
      <c r="F8" s="95"/>
      <c r="G8" s="95"/>
      <c r="H8" s="95"/>
    </row>
    <row r="9" spans="1:8">
      <c r="A9" s="6" t="s">
        <v>108</v>
      </c>
      <c r="B9" s="6">
        <v>180</v>
      </c>
      <c r="C9" s="6">
        <v>100</v>
      </c>
      <c r="D9" s="6"/>
      <c r="E9" s="6" t="s">
        <v>108</v>
      </c>
      <c r="F9" s="95"/>
      <c r="G9" s="95"/>
      <c r="H9" s="95"/>
    </row>
    <row r="10" spans="1:8">
      <c r="A10" s="6" t="s">
        <v>110</v>
      </c>
      <c r="B10" s="6">
        <v>175</v>
      </c>
      <c r="C10" s="6">
        <v>85</v>
      </c>
      <c r="D10" s="6"/>
      <c r="E10" s="6" t="s">
        <v>110</v>
      </c>
      <c r="F10" s="95"/>
      <c r="G10" s="95"/>
      <c r="H10" s="95"/>
    </row>
    <row r="11" spans="1:8">
      <c r="A11" s="6" t="s">
        <v>112</v>
      </c>
      <c r="B11" s="6">
        <v>176</v>
      </c>
      <c r="C11" s="6">
        <v>84</v>
      </c>
      <c r="D11" s="6"/>
      <c r="E11" s="6" t="s">
        <v>112</v>
      </c>
      <c r="F11" s="95"/>
      <c r="G11" s="95"/>
      <c r="H11" s="95"/>
    </row>
    <row r="12" spans="1:8">
      <c r="A12" s="6" t="s">
        <v>114</v>
      </c>
      <c r="B12" s="6">
        <v>183</v>
      </c>
      <c r="C12" s="6">
        <v>80</v>
      </c>
      <c r="D12" s="6"/>
      <c r="E12" s="6" t="s">
        <v>114</v>
      </c>
      <c r="F12" s="95"/>
      <c r="G12" s="95"/>
      <c r="H12" s="95"/>
    </row>
    <row r="13" spans="1:8">
      <c r="A13" s="6" t="s">
        <v>116</v>
      </c>
      <c r="B13" s="6">
        <v>183</v>
      </c>
      <c r="C13" s="6">
        <v>81</v>
      </c>
      <c r="D13" s="6"/>
      <c r="E13" s="6" t="s">
        <v>116</v>
      </c>
      <c r="F13" s="95"/>
      <c r="G13" s="95"/>
      <c r="H13" s="95"/>
    </row>
    <row r="14" spans="1:8">
      <c r="A14" s="6" t="s">
        <v>118</v>
      </c>
      <c r="B14" s="6">
        <v>185</v>
      </c>
      <c r="C14" s="6">
        <v>78</v>
      </c>
      <c r="D14" s="6"/>
      <c r="E14" s="6" t="s">
        <v>118</v>
      </c>
      <c r="F14" s="95"/>
      <c r="G14" s="95"/>
      <c r="H14" s="95"/>
    </row>
    <row r="15" spans="1:8">
      <c r="A15" s="6" t="s">
        <v>120</v>
      </c>
      <c r="B15" s="6">
        <v>184</v>
      </c>
      <c r="C15" s="6">
        <v>91</v>
      </c>
      <c r="D15" s="6"/>
      <c r="E15" s="6" t="s">
        <v>120</v>
      </c>
      <c r="F15" s="95"/>
      <c r="G15" s="95"/>
      <c r="H15" s="95"/>
    </row>
    <row r="16" spans="1:8">
      <c r="A16" s="6" t="s">
        <v>122</v>
      </c>
      <c r="B16" s="6">
        <v>194</v>
      </c>
      <c r="C16" s="6">
        <v>130</v>
      </c>
      <c r="D16" s="6"/>
      <c r="E16" s="6" t="s">
        <v>122</v>
      </c>
      <c r="F16" s="95"/>
      <c r="G16" s="95"/>
      <c r="H16" s="95"/>
    </row>
    <row r="17" spans="1:8">
      <c r="A17" s="6" t="s">
        <v>124</v>
      </c>
      <c r="B17" s="6">
        <v>190</v>
      </c>
      <c r="C17" s="6">
        <v>95</v>
      </c>
      <c r="D17" s="6"/>
      <c r="E17" s="6" t="s">
        <v>124</v>
      </c>
      <c r="F17" s="95"/>
      <c r="G17" s="95"/>
      <c r="H17" s="95"/>
    </row>
    <row r="18" spans="1:8">
      <c r="A18" s="6" t="s">
        <v>126</v>
      </c>
      <c r="B18" s="6">
        <v>180</v>
      </c>
      <c r="C18" s="6">
        <v>84</v>
      </c>
      <c r="D18" s="6"/>
      <c r="E18" s="6" t="s">
        <v>126</v>
      </c>
      <c r="F18" s="95"/>
      <c r="G18" s="95"/>
      <c r="H18" s="95"/>
    </row>
    <row r="19" spans="1:8">
      <c r="A19" s="6" t="s">
        <v>128</v>
      </c>
      <c r="B19" s="6">
        <v>178</v>
      </c>
      <c r="C19" s="6">
        <v>94</v>
      </c>
      <c r="D19" s="6"/>
      <c r="E19" s="6" t="s">
        <v>128</v>
      </c>
      <c r="F19" s="95"/>
      <c r="G19" s="95"/>
      <c r="H19" s="95"/>
    </row>
    <row r="20" spans="1:8">
      <c r="A20" s="6" t="s">
        <v>130</v>
      </c>
      <c r="B20" s="6">
        <v>192</v>
      </c>
      <c r="C20" s="6">
        <v>105</v>
      </c>
      <c r="D20" s="6"/>
      <c r="E20" s="6" t="s">
        <v>130</v>
      </c>
      <c r="F20" s="95"/>
      <c r="G20" s="95"/>
      <c r="H20" s="95"/>
    </row>
    <row r="21" spans="1:8">
      <c r="A21" s="6" t="s">
        <v>132</v>
      </c>
      <c r="B21" s="6">
        <v>180</v>
      </c>
      <c r="C21" s="6">
        <v>86</v>
      </c>
      <c r="D21" s="6"/>
      <c r="E21" s="6" t="s">
        <v>132</v>
      </c>
      <c r="F21" s="95"/>
      <c r="G21" s="95"/>
      <c r="H21" s="95"/>
    </row>
    <row r="22" spans="1:8">
      <c r="A22" s="6" t="s">
        <v>133</v>
      </c>
      <c r="B22" s="95"/>
      <c r="C22" s="95"/>
      <c r="D22" s="6"/>
      <c r="E22" s="6"/>
      <c r="F22" s="7"/>
      <c r="G22" s="7" t="s">
        <v>134</v>
      </c>
      <c r="H22" s="95"/>
    </row>
    <row r="23" spans="1:8">
      <c r="A23" s="6" t="s">
        <v>135</v>
      </c>
      <c r="B23" s="95"/>
      <c r="C23" s="95"/>
      <c r="D23" s="6"/>
      <c r="E23" s="6"/>
      <c r="F23" s="6"/>
    </row>
    <row r="24" spans="1:8">
      <c r="A24" s="6"/>
      <c r="B24" s="6"/>
      <c r="C24" s="6"/>
      <c r="D24" s="6"/>
      <c r="E24" s="6"/>
      <c r="F24" s="6"/>
      <c r="G24" s="1" t="s">
        <v>136</v>
      </c>
      <c r="H24" s="8"/>
    </row>
    <row r="25" spans="1:8">
      <c r="A25" s="6"/>
      <c r="B25" s="6"/>
      <c r="C25" s="6"/>
      <c r="D25" s="6"/>
      <c r="E25" s="6"/>
      <c r="F25" s="6"/>
      <c r="G25" s="6"/>
      <c r="H25" s="6"/>
    </row>
    <row r="26" spans="1:8">
      <c r="A26" s="6"/>
      <c r="B26" s="6"/>
      <c r="C26" s="6"/>
      <c r="D26" s="6"/>
      <c r="E26" s="6"/>
      <c r="F26" s="6"/>
      <c r="G26" s="6"/>
      <c r="H26" s="6"/>
    </row>
    <row r="27" spans="1:8">
      <c r="A27" s="6"/>
      <c r="B27" s="6"/>
      <c r="C27" s="6"/>
      <c r="D27" s="6"/>
      <c r="E27" s="6"/>
      <c r="F27" s="6"/>
      <c r="G27" s="6"/>
      <c r="H27" s="7"/>
    </row>
    <row r="28" spans="1:8">
      <c r="A28" s="6"/>
      <c r="B28" s="6"/>
      <c r="C28" s="6"/>
      <c r="D28" s="6"/>
      <c r="E28" s="6"/>
      <c r="F28" s="6"/>
      <c r="G28" s="6"/>
      <c r="H28" s="6"/>
    </row>
    <row r="29" spans="1:8">
      <c r="A29" s="6"/>
      <c r="B29" s="6"/>
      <c r="C29" s="6"/>
      <c r="D29" s="6"/>
      <c r="E29" s="6"/>
      <c r="F29" s="6"/>
      <c r="G29" s="6"/>
      <c r="H29" s="7"/>
    </row>
    <row r="30" spans="1:8">
      <c r="A30" s="6"/>
      <c r="B30" s="6"/>
      <c r="C30" s="6"/>
      <c r="D30" s="6"/>
      <c r="E30" s="6"/>
      <c r="F30" s="6"/>
      <c r="G30" s="6"/>
      <c r="H30" s="7"/>
    </row>
    <row r="31" spans="1:8">
      <c r="A31" s="6"/>
      <c r="B31" s="6"/>
      <c r="C31" s="6"/>
      <c r="D31" s="6"/>
      <c r="E31" s="6"/>
      <c r="F31" s="6"/>
      <c r="G31" s="6"/>
      <c r="H31" s="6"/>
    </row>
    <row r="32" spans="1:8">
      <c r="A32" s="6"/>
      <c r="B32" s="6"/>
      <c r="C32" s="6"/>
      <c r="D32" s="6"/>
      <c r="E32" s="6"/>
      <c r="F32" s="6"/>
      <c r="G32" s="6"/>
      <c r="H32" s="6"/>
    </row>
    <row r="33" spans="1:8">
      <c r="A33" s="6"/>
      <c r="B33" s="6"/>
      <c r="C33" s="6"/>
      <c r="D33" s="6"/>
      <c r="E33" s="6"/>
      <c r="F33" s="6"/>
      <c r="G33" s="6"/>
      <c r="H33" s="6"/>
    </row>
    <row r="34" spans="1:8">
      <c r="A34" s="6"/>
      <c r="B34" s="6"/>
      <c r="C34" s="6"/>
      <c r="D34" s="6"/>
      <c r="E34" s="6"/>
      <c r="F34" s="6"/>
      <c r="G34" s="6"/>
      <c r="H34" s="6"/>
    </row>
    <row r="35" spans="1:8">
      <c r="A35" s="6" t="s">
        <v>138</v>
      </c>
      <c r="B35" s="6" t="s">
        <v>139</v>
      </c>
      <c r="C35" s="6" t="s">
        <v>140</v>
      </c>
      <c r="D35" s="6"/>
      <c r="E35" s="6" t="s">
        <v>138</v>
      </c>
      <c r="F35" s="6" t="s">
        <v>141</v>
      </c>
      <c r="G35" s="6" t="s">
        <v>142</v>
      </c>
      <c r="H35" s="6"/>
    </row>
    <row r="36" spans="1:8">
      <c r="A36" s="6" t="s">
        <v>143</v>
      </c>
      <c r="B36" s="6">
        <v>178</v>
      </c>
      <c r="C36" s="6">
        <v>80</v>
      </c>
      <c r="D36" s="6"/>
      <c r="E36" s="6" t="s">
        <v>143</v>
      </c>
      <c r="F36" s="6">
        <f t="shared" ref="F36:F55" si="0">B2/100</f>
        <v>1.78</v>
      </c>
      <c r="G36" s="6">
        <f t="shared" ref="G36:G55" si="1">C2*1000</f>
        <v>80000</v>
      </c>
      <c r="H36" s="6"/>
    </row>
    <row r="37" spans="1:8">
      <c r="A37" s="6" t="s">
        <v>100</v>
      </c>
      <c r="B37" s="6">
        <v>184</v>
      </c>
      <c r="C37" s="6">
        <v>80</v>
      </c>
      <c r="D37" s="6"/>
      <c r="E37" s="6" t="s">
        <v>100</v>
      </c>
      <c r="F37" s="6">
        <f t="shared" si="0"/>
        <v>1.84</v>
      </c>
      <c r="G37" s="6">
        <f t="shared" si="1"/>
        <v>80000</v>
      </c>
      <c r="H37" s="6"/>
    </row>
    <row r="38" spans="1:8">
      <c r="A38" s="6" t="s">
        <v>101</v>
      </c>
      <c r="B38" s="6">
        <v>188</v>
      </c>
      <c r="C38" s="6">
        <v>100</v>
      </c>
      <c r="D38" s="6"/>
      <c r="E38" s="6" t="s">
        <v>101</v>
      </c>
      <c r="F38" s="6">
        <f t="shared" si="0"/>
        <v>1.88</v>
      </c>
      <c r="G38" s="6">
        <f t="shared" si="1"/>
        <v>100000</v>
      </c>
      <c r="H38" s="6"/>
    </row>
    <row r="39" spans="1:8">
      <c r="A39" s="6" t="s">
        <v>102</v>
      </c>
      <c r="B39" s="6">
        <v>180</v>
      </c>
      <c r="C39" s="6">
        <v>90</v>
      </c>
      <c r="D39" s="6"/>
      <c r="E39" s="6" t="s">
        <v>102</v>
      </c>
      <c r="F39" s="6">
        <f t="shared" si="0"/>
        <v>1.8</v>
      </c>
      <c r="G39" s="6">
        <f t="shared" si="1"/>
        <v>90000</v>
      </c>
      <c r="H39" s="6"/>
    </row>
    <row r="40" spans="1:8">
      <c r="A40" s="6" t="s">
        <v>144</v>
      </c>
      <c r="B40" s="6">
        <v>185</v>
      </c>
      <c r="C40" s="6">
        <v>90</v>
      </c>
      <c r="D40" s="6"/>
      <c r="E40" s="6" t="s">
        <v>144</v>
      </c>
      <c r="F40" s="6">
        <f t="shared" si="0"/>
        <v>1.85</v>
      </c>
      <c r="G40" s="6">
        <f t="shared" si="1"/>
        <v>90000</v>
      </c>
      <c r="H40" s="6"/>
    </row>
    <row r="41" spans="1:8">
      <c r="A41" s="6" t="s">
        <v>145</v>
      </c>
      <c r="B41" s="6">
        <v>178</v>
      </c>
      <c r="C41" s="6">
        <v>94</v>
      </c>
      <c r="D41" s="6"/>
      <c r="E41" s="6" t="s">
        <v>145</v>
      </c>
      <c r="F41" s="6">
        <f t="shared" si="0"/>
        <v>1.78</v>
      </c>
      <c r="G41" s="6">
        <f t="shared" si="1"/>
        <v>94000</v>
      </c>
      <c r="H41" s="6"/>
    </row>
    <row r="42" spans="1:8">
      <c r="A42" s="6" t="s">
        <v>106</v>
      </c>
      <c r="B42" s="6">
        <v>183</v>
      </c>
      <c r="C42" s="6">
        <v>90</v>
      </c>
      <c r="D42" s="6"/>
      <c r="E42" s="6" t="s">
        <v>106</v>
      </c>
      <c r="F42" s="6">
        <f t="shared" si="0"/>
        <v>1.83</v>
      </c>
      <c r="G42" s="6">
        <f t="shared" si="1"/>
        <v>90000</v>
      </c>
      <c r="H42" s="6"/>
    </row>
    <row r="43" spans="1:8">
      <c r="A43" s="6" t="s">
        <v>108</v>
      </c>
      <c r="B43" s="6">
        <v>180</v>
      </c>
      <c r="C43" s="6">
        <v>100</v>
      </c>
      <c r="D43" s="6"/>
      <c r="E43" s="6" t="s">
        <v>108</v>
      </c>
      <c r="F43" s="6">
        <f t="shared" si="0"/>
        <v>1.8</v>
      </c>
      <c r="G43" s="6">
        <f t="shared" si="1"/>
        <v>100000</v>
      </c>
      <c r="H43" s="6"/>
    </row>
    <row r="44" spans="1:8">
      <c r="A44" s="6" t="s">
        <v>146</v>
      </c>
      <c r="B44" s="6">
        <v>175</v>
      </c>
      <c r="C44" s="6">
        <v>85</v>
      </c>
      <c r="D44" s="6"/>
      <c r="E44" s="6" t="s">
        <v>146</v>
      </c>
      <c r="F44" s="6">
        <f t="shared" si="0"/>
        <v>1.75</v>
      </c>
      <c r="G44" s="6">
        <f t="shared" si="1"/>
        <v>85000</v>
      </c>
      <c r="H44" s="6"/>
    </row>
    <row r="45" spans="1:8">
      <c r="A45" s="6" t="s">
        <v>147</v>
      </c>
      <c r="B45" s="6">
        <v>176</v>
      </c>
      <c r="C45" s="6">
        <v>84</v>
      </c>
      <c r="D45" s="6"/>
      <c r="E45" s="6" t="s">
        <v>147</v>
      </c>
      <c r="F45" s="6">
        <f t="shared" si="0"/>
        <v>1.76</v>
      </c>
      <c r="G45" s="6">
        <f t="shared" si="1"/>
        <v>84000</v>
      </c>
      <c r="H45" s="6"/>
    </row>
    <row r="46" spans="1:8">
      <c r="A46" s="6" t="s">
        <v>113</v>
      </c>
      <c r="B46" s="6">
        <v>183</v>
      </c>
      <c r="C46" s="6">
        <v>80</v>
      </c>
      <c r="D46" s="6"/>
      <c r="E46" s="6" t="s">
        <v>113</v>
      </c>
      <c r="F46" s="6">
        <f t="shared" si="0"/>
        <v>1.83</v>
      </c>
      <c r="G46" s="6">
        <f t="shared" si="1"/>
        <v>80000</v>
      </c>
      <c r="H46" s="6"/>
    </row>
    <row r="47" spans="1:8">
      <c r="A47" s="6" t="s">
        <v>115</v>
      </c>
      <c r="B47" s="6">
        <v>183</v>
      </c>
      <c r="C47" s="6">
        <v>81</v>
      </c>
      <c r="D47" s="6"/>
      <c r="E47" s="6" t="s">
        <v>115</v>
      </c>
      <c r="F47" s="6">
        <f t="shared" si="0"/>
        <v>1.83</v>
      </c>
      <c r="G47" s="6">
        <f t="shared" si="1"/>
        <v>81000</v>
      </c>
      <c r="H47" s="6"/>
    </row>
    <row r="48" spans="1:8">
      <c r="A48" s="6" t="s">
        <v>148</v>
      </c>
      <c r="B48" s="6">
        <v>185</v>
      </c>
      <c r="C48" s="6">
        <v>78</v>
      </c>
      <c r="D48" s="6"/>
      <c r="E48" s="6" t="s">
        <v>148</v>
      </c>
      <c r="F48" s="6">
        <f t="shared" si="0"/>
        <v>1.85</v>
      </c>
      <c r="G48" s="6">
        <f t="shared" si="1"/>
        <v>78000</v>
      </c>
      <c r="H48" s="6"/>
    </row>
    <row r="49" spans="1:8">
      <c r="A49" s="6" t="s">
        <v>119</v>
      </c>
      <c r="B49" s="6">
        <v>184</v>
      </c>
      <c r="C49" s="6">
        <v>91</v>
      </c>
      <c r="D49" s="6"/>
      <c r="E49" s="6" t="s">
        <v>119</v>
      </c>
      <c r="F49" s="6">
        <f t="shared" si="0"/>
        <v>1.84</v>
      </c>
      <c r="G49" s="6">
        <f t="shared" si="1"/>
        <v>91000</v>
      </c>
      <c r="H49" s="6"/>
    </row>
    <row r="50" spans="1:8">
      <c r="A50" s="6" t="s">
        <v>121</v>
      </c>
      <c r="B50" s="6">
        <v>194</v>
      </c>
      <c r="C50" s="6">
        <v>130</v>
      </c>
      <c r="D50" s="6"/>
      <c r="E50" s="6" t="s">
        <v>121</v>
      </c>
      <c r="F50" s="6">
        <f t="shared" si="0"/>
        <v>1.94</v>
      </c>
      <c r="G50" s="6">
        <f t="shared" si="1"/>
        <v>130000</v>
      </c>
      <c r="H50" s="6"/>
    </row>
    <row r="51" spans="1:8">
      <c r="A51" s="6" t="s">
        <v>123</v>
      </c>
      <c r="B51" s="6">
        <v>190</v>
      </c>
      <c r="C51" s="6">
        <v>95</v>
      </c>
      <c r="D51" s="6"/>
      <c r="E51" s="6" t="s">
        <v>123</v>
      </c>
      <c r="F51" s="6">
        <f t="shared" si="0"/>
        <v>1.9</v>
      </c>
      <c r="G51" s="6">
        <f t="shared" si="1"/>
        <v>95000</v>
      </c>
      <c r="H51" s="6"/>
    </row>
    <row r="52" spans="1:8">
      <c r="A52" s="6" t="s">
        <v>125</v>
      </c>
      <c r="B52" s="6">
        <v>180</v>
      </c>
      <c r="C52" s="6">
        <v>84</v>
      </c>
      <c r="D52" s="6"/>
      <c r="E52" s="6" t="s">
        <v>125</v>
      </c>
      <c r="F52" s="6">
        <f t="shared" si="0"/>
        <v>1.8</v>
      </c>
      <c r="G52" s="6">
        <f t="shared" si="1"/>
        <v>84000</v>
      </c>
      <c r="H52" s="6"/>
    </row>
    <row r="53" spans="1:8">
      <c r="A53" s="6" t="s">
        <v>127</v>
      </c>
      <c r="B53" s="6">
        <v>178</v>
      </c>
      <c r="C53" s="6">
        <v>94</v>
      </c>
      <c r="D53" s="6"/>
      <c r="E53" s="6" t="s">
        <v>127</v>
      </c>
      <c r="F53" s="6">
        <f t="shared" si="0"/>
        <v>1.78</v>
      </c>
      <c r="G53" s="6">
        <f t="shared" si="1"/>
        <v>94000</v>
      </c>
      <c r="H53" s="6"/>
    </row>
    <row r="54" spans="1:8">
      <c r="A54" s="6" t="s">
        <v>149</v>
      </c>
      <c r="B54" s="6">
        <v>192</v>
      </c>
      <c r="C54" s="6">
        <v>105</v>
      </c>
      <c r="D54" s="6"/>
      <c r="E54" s="6" t="s">
        <v>149</v>
      </c>
      <c r="F54" s="6">
        <f t="shared" si="0"/>
        <v>1.92</v>
      </c>
      <c r="G54" s="6">
        <f t="shared" si="1"/>
        <v>105000</v>
      </c>
      <c r="H54" s="6"/>
    </row>
    <row r="55" spans="1:8">
      <c r="A55" s="6" t="s">
        <v>150</v>
      </c>
      <c r="B55" s="6">
        <v>180</v>
      </c>
      <c r="C55" s="6">
        <v>86</v>
      </c>
      <c r="D55" s="6"/>
      <c r="E55" s="6" t="s">
        <v>150</v>
      </c>
      <c r="F55" s="6">
        <f t="shared" si="0"/>
        <v>1.8</v>
      </c>
      <c r="G55" s="6">
        <f t="shared" si="1"/>
        <v>86000</v>
      </c>
      <c r="H55" s="6"/>
    </row>
    <row r="56" spans="1:8">
      <c r="A56" s="6"/>
      <c r="B56" s="7"/>
      <c r="C56" s="7"/>
      <c r="D56" s="6"/>
      <c r="E56" s="6"/>
      <c r="F56" s="7"/>
      <c r="G56" s="7"/>
      <c r="H56" s="6"/>
    </row>
    <row r="57" spans="1:8">
      <c r="A57" s="6"/>
      <c r="B57" s="1" t="s">
        <v>137</v>
      </c>
      <c r="C57" s="8"/>
      <c r="D57" s="6"/>
      <c r="E57" s="6"/>
      <c r="F57" s="1" t="s">
        <v>137</v>
      </c>
      <c r="G57" s="8"/>
      <c r="H57" s="6"/>
    </row>
    <row r="60" spans="1:8">
      <c r="H6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J87"/>
  <sheetViews>
    <sheetView topLeftCell="AA1" zoomScale="70" zoomScaleNormal="70" workbookViewId="0">
      <selection activeCell="AZ32" sqref="AZ32:BE35"/>
    </sheetView>
  </sheetViews>
  <sheetFormatPr defaultColWidth="5.796875" defaultRowHeight="17.399999999999999"/>
  <cols>
    <col min="1" max="7" width="5.796875" style="59"/>
    <col min="8" max="9" width="9" style="59" bestFit="1" customWidth="1"/>
    <col min="10" max="15" width="5.796875" style="59"/>
    <col min="16" max="34" width="7.296875" style="59" customWidth="1"/>
    <col min="35" max="35" width="7.8984375" style="59" bestFit="1" customWidth="1"/>
    <col min="36" max="38" width="9.59765625" style="59" customWidth="1"/>
    <col min="39" max="39" width="5.796875" style="59"/>
    <col min="40" max="42" width="7.09765625" style="59" customWidth="1"/>
    <col min="43" max="43" width="5.796875" style="59"/>
    <col min="44" max="46" width="9.69921875" style="59" customWidth="1"/>
    <col min="47" max="51" width="5.796875" style="59"/>
    <col min="52" max="53" width="12.59765625" style="59" customWidth="1"/>
    <col min="54" max="16384" width="5.796875" style="59"/>
  </cols>
  <sheetData>
    <row r="1" spans="1:57">
      <c r="A1" s="101" t="s">
        <v>421</v>
      </c>
      <c r="B1" s="101"/>
      <c r="C1" s="101"/>
      <c r="D1" s="101"/>
      <c r="E1" s="101"/>
      <c r="F1" s="101"/>
      <c r="G1" s="101"/>
      <c r="H1" s="101"/>
      <c r="P1" s="101" t="s">
        <v>420</v>
      </c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F1" s="101" t="s">
        <v>428</v>
      </c>
      <c r="AG1" s="101"/>
      <c r="AH1" s="101"/>
      <c r="AI1" s="101"/>
      <c r="AJ1" s="101"/>
      <c r="AK1" s="101"/>
      <c r="AL1" s="101"/>
      <c r="AM1" s="101"/>
      <c r="AN1" s="101"/>
      <c r="AO1" s="101"/>
      <c r="AP1" s="101"/>
      <c r="AW1" s="101" t="s">
        <v>435</v>
      </c>
      <c r="AX1" s="101"/>
      <c r="AY1" s="101"/>
      <c r="AZ1" s="101"/>
      <c r="BA1" s="101"/>
      <c r="BB1" s="101"/>
      <c r="BC1" s="101"/>
      <c r="BD1" s="101"/>
      <c r="BE1" s="101"/>
    </row>
    <row r="2" spans="1:57">
      <c r="A2" s="99" t="s">
        <v>396</v>
      </c>
      <c r="B2" s="99"/>
      <c r="C2" s="99"/>
      <c r="E2" s="99" t="s">
        <v>422</v>
      </c>
      <c r="F2" s="99"/>
      <c r="G2" s="99"/>
      <c r="H2" s="99"/>
      <c r="P2" s="99" t="s">
        <v>396</v>
      </c>
      <c r="Q2" s="99"/>
      <c r="R2" s="99"/>
      <c r="T2" s="100" t="s">
        <v>397</v>
      </c>
      <c r="U2" s="100"/>
      <c r="V2" s="100"/>
      <c r="X2" s="102" t="s">
        <v>409</v>
      </c>
      <c r="Y2" s="102"/>
      <c r="Z2" s="102"/>
      <c r="AB2" s="102" t="s">
        <v>403</v>
      </c>
      <c r="AC2" s="102"/>
      <c r="AD2" s="102"/>
      <c r="AF2" s="99" t="s">
        <v>396</v>
      </c>
      <c r="AG2" s="99"/>
      <c r="AH2" s="99"/>
      <c r="AJ2" s="99" t="s">
        <v>429</v>
      </c>
      <c r="AK2" s="99"/>
      <c r="AL2" s="99"/>
      <c r="AN2" s="99" t="s">
        <v>409</v>
      </c>
      <c r="AO2" s="99"/>
      <c r="AP2" s="99"/>
      <c r="AW2" s="99" t="s">
        <v>396</v>
      </c>
      <c r="AX2" s="99"/>
      <c r="AZ2" s="62" t="s">
        <v>436</v>
      </c>
      <c r="BB2" s="98" t="s">
        <v>437</v>
      </c>
      <c r="BC2" s="98"/>
      <c r="BE2" s="63" t="s">
        <v>438</v>
      </c>
    </row>
    <row r="3" spans="1:57">
      <c r="A3" s="59">
        <v>1</v>
      </c>
      <c r="B3" s="59">
        <v>2</v>
      </c>
      <c r="C3" s="59">
        <v>3</v>
      </c>
      <c r="P3" s="59">
        <v>1</v>
      </c>
      <c r="Q3" s="59">
        <v>2</v>
      </c>
      <c r="R3" s="59">
        <v>3</v>
      </c>
      <c r="T3" s="59">
        <v>9</v>
      </c>
      <c r="U3" s="59">
        <v>8</v>
      </c>
      <c r="V3" s="59">
        <v>7</v>
      </c>
      <c r="X3" s="81"/>
      <c r="Y3" s="81"/>
      <c r="Z3" s="81"/>
      <c r="AB3" s="81"/>
      <c r="AC3" s="81"/>
      <c r="AD3" s="81"/>
      <c r="AF3" s="59">
        <v>1</v>
      </c>
      <c r="AG3" s="59">
        <v>-2</v>
      </c>
      <c r="AH3" s="59">
        <v>3</v>
      </c>
      <c r="AJ3" s="25"/>
      <c r="AK3" s="25"/>
      <c r="AL3" s="25"/>
      <c r="AM3" s="92"/>
      <c r="AN3" s="92"/>
      <c r="AO3" s="92"/>
      <c r="AP3" s="92"/>
      <c r="AW3" s="59">
        <v>1</v>
      </c>
      <c r="AX3" s="59">
        <v>1</v>
      </c>
      <c r="AZ3" s="59">
        <v>2</v>
      </c>
      <c r="BB3" s="81"/>
      <c r="BC3" s="81"/>
      <c r="BE3" s="81"/>
    </row>
    <row r="4" spans="1:57">
      <c r="A4" s="59">
        <v>4</v>
      </c>
      <c r="B4" s="59">
        <v>5</v>
      </c>
      <c r="C4" s="59">
        <v>6</v>
      </c>
      <c r="P4" s="59">
        <v>4</v>
      </c>
      <c r="Q4" s="59">
        <v>5</v>
      </c>
      <c r="R4" s="59">
        <v>6</v>
      </c>
      <c r="T4" s="59">
        <v>6</v>
      </c>
      <c r="U4" s="59">
        <v>5</v>
      </c>
      <c r="V4" s="59">
        <v>4</v>
      </c>
      <c r="X4" s="81"/>
      <c r="Y4" s="81"/>
      <c r="Z4" s="81"/>
      <c r="AB4" s="81"/>
      <c r="AC4" s="81"/>
      <c r="AD4" s="81"/>
      <c r="AF4" s="59">
        <v>-1</v>
      </c>
      <c r="AG4" s="59">
        <v>2</v>
      </c>
      <c r="AH4" s="59">
        <v>3</v>
      </c>
      <c r="AJ4" s="25"/>
      <c r="AK4" s="25"/>
      <c r="AL4" s="25"/>
      <c r="AM4" s="92"/>
      <c r="AN4" s="92"/>
      <c r="AO4" s="92"/>
      <c r="AP4" s="92"/>
      <c r="AW4" s="59">
        <v>2</v>
      </c>
      <c r="AX4" s="59">
        <v>-2</v>
      </c>
      <c r="AZ4" s="59">
        <v>4</v>
      </c>
      <c r="BB4" s="81"/>
      <c r="BC4" s="81"/>
      <c r="BE4" s="81"/>
    </row>
    <row r="5" spans="1:57">
      <c r="A5" s="59">
        <v>7</v>
      </c>
      <c r="B5" s="59">
        <v>8</v>
      </c>
      <c r="C5" s="59">
        <v>9</v>
      </c>
      <c r="P5" s="59">
        <v>7</v>
      </c>
      <c r="Q5" s="59">
        <v>8</v>
      </c>
      <c r="R5" s="59">
        <v>9</v>
      </c>
      <c r="T5" s="59">
        <v>3</v>
      </c>
      <c r="U5" s="59">
        <v>2</v>
      </c>
      <c r="V5" s="59">
        <v>1</v>
      </c>
      <c r="X5" s="81"/>
      <c r="Y5" s="81"/>
      <c r="Z5" s="81"/>
      <c r="AB5" s="81"/>
      <c r="AC5" s="81"/>
      <c r="AD5" s="81"/>
      <c r="AF5" s="59">
        <v>1</v>
      </c>
      <c r="AG5" s="59">
        <v>2</v>
      </c>
      <c r="AH5" s="59">
        <v>-3</v>
      </c>
      <c r="AJ5" s="25"/>
      <c r="AK5" s="25"/>
      <c r="AL5" s="25"/>
      <c r="AM5" s="92"/>
      <c r="AN5" s="92"/>
      <c r="AO5" s="92"/>
      <c r="AP5" s="92"/>
    </row>
    <row r="6" spans="1:57">
      <c r="A6" s="59">
        <v>10</v>
      </c>
      <c r="B6" s="59">
        <v>11</v>
      </c>
      <c r="C6" s="59">
        <v>12</v>
      </c>
    </row>
    <row r="7" spans="1:57">
      <c r="P7" s="101" t="s">
        <v>419</v>
      </c>
      <c r="Q7" s="101"/>
      <c r="R7" s="101"/>
      <c r="S7" s="101"/>
      <c r="T7" s="101"/>
      <c r="U7" s="101"/>
      <c r="V7" s="101"/>
      <c r="W7" s="101"/>
      <c r="X7" s="101"/>
      <c r="Y7" s="101"/>
      <c r="Z7" s="101"/>
      <c r="AF7" s="101" t="s">
        <v>431</v>
      </c>
      <c r="AG7" s="101"/>
      <c r="AH7" s="101"/>
      <c r="AI7" s="101"/>
      <c r="AJ7" s="101"/>
      <c r="AK7" s="101"/>
      <c r="AL7" s="101"/>
      <c r="AM7" s="101"/>
      <c r="AN7" s="101"/>
      <c r="AO7" s="101"/>
      <c r="AP7" s="101"/>
      <c r="AW7" s="64" t="s">
        <v>439</v>
      </c>
      <c r="AX7" s="64" t="s">
        <v>440</v>
      </c>
      <c r="AZ7" s="102" t="s">
        <v>441</v>
      </c>
      <c r="BA7" s="102"/>
      <c r="BC7" s="98" t="s">
        <v>442</v>
      </c>
      <c r="BD7" s="98"/>
    </row>
    <row r="8" spans="1:57">
      <c r="A8" s="101" t="s">
        <v>423</v>
      </c>
      <c r="B8" s="101"/>
      <c r="C8" s="101"/>
      <c r="D8" s="101"/>
      <c r="E8" s="101"/>
      <c r="F8" s="101"/>
      <c r="G8" s="101"/>
      <c r="H8" s="101"/>
      <c r="I8" s="101"/>
      <c r="P8" s="99" t="s">
        <v>396</v>
      </c>
      <c r="Q8" s="99"/>
      <c r="R8" s="99"/>
      <c r="T8" s="100" t="s">
        <v>397</v>
      </c>
      <c r="U8" s="100"/>
      <c r="V8" s="100"/>
      <c r="X8" s="103" t="s">
        <v>404</v>
      </c>
      <c r="Y8" s="103"/>
      <c r="Z8" s="103"/>
      <c r="AF8" s="99" t="s">
        <v>396</v>
      </c>
      <c r="AG8" s="99"/>
      <c r="AH8" s="99"/>
      <c r="AJ8" s="99" t="s">
        <v>430</v>
      </c>
      <c r="AK8" s="99"/>
      <c r="AL8" s="99"/>
      <c r="AN8" s="99" t="s">
        <v>431</v>
      </c>
      <c r="AO8" s="99"/>
      <c r="AP8" s="99"/>
      <c r="AW8" s="59">
        <v>0</v>
      </c>
      <c r="AX8" s="59">
        <v>0</v>
      </c>
      <c r="AZ8" s="59">
        <v>2</v>
      </c>
      <c r="BA8" s="59">
        <v>0</v>
      </c>
      <c r="BC8" s="81"/>
      <c r="BD8" s="81"/>
    </row>
    <row r="9" spans="1:57">
      <c r="A9" s="104" t="s">
        <v>398</v>
      </c>
      <c r="B9" s="99" t="s">
        <v>396</v>
      </c>
      <c r="C9" s="99"/>
      <c r="D9" s="59" t="s">
        <v>400</v>
      </c>
      <c r="E9" s="102" t="s">
        <v>397</v>
      </c>
      <c r="F9" s="102"/>
      <c r="G9" s="59" t="s">
        <v>401</v>
      </c>
      <c r="H9" s="98" t="s">
        <v>402</v>
      </c>
      <c r="I9" s="98"/>
      <c r="P9" s="59">
        <v>1</v>
      </c>
      <c r="Q9" s="59">
        <v>2</v>
      </c>
      <c r="R9" s="59">
        <v>3</v>
      </c>
      <c r="T9" s="59">
        <v>9</v>
      </c>
      <c r="U9" s="59">
        <v>8</v>
      </c>
      <c r="V9" s="59">
        <v>7</v>
      </c>
      <c r="X9" s="59">
        <v>1</v>
      </c>
      <c r="Y9" s="59">
        <v>2</v>
      </c>
      <c r="Z9" s="59">
        <v>3</v>
      </c>
      <c r="AF9" s="59">
        <v>1</v>
      </c>
      <c r="AG9" s="59">
        <v>-2</v>
      </c>
      <c r="AH9" s="59">
        <v>3</v>
      </c>
      <c r="AJ9" s="81"/>
      <c r="AK9" s="81"/>
      <c r="AL9" s="81"/>
      <c r="AN9" s="81"/>
      <c r="AO9" s="81"/>
      <c r="AP9" s="81"/>
      <c r="AW9" s="59">
        <v>1</v>
      </c>
      <c r="AX9" s="59">
        <v>0</v>
      </c>
      <c r="AZ9" s="59">
        <v>0</v>
      </c>
      <c r="BA9" s="59">
        <v>2</v>
      </c>
      <c r="BC9" s="81"/>
      <c r="BD9" s="81"/>
    </row>
    <row r="10" spans="1:57">
      <c r="A10" s="104"/>
      <c r="B10" s="59">
        <v>1</v>
      </c>
      <c r="C10" s="59">
        <v>2</v>
      </c>
      <c r="E10" s="59">
        <v>5</v>
      </c>
      <c r="F10" s="59">
        <v>6</v>
      </c>
      <c r="P10" s="59">
        <v>4</v>
      </c>
      <c r="Q10" s="59">
        <v>5</v>
      </c>
      <c r="R10" s="59">
        <v>6</v>
      </c>
      <c r="T10" s="59">
        <v>6</v>
      </c>
      <c r="U10" s="59">
        <v>5</v>
      </c>
      <c r="V10" s="59">
        <v>4</v>
      </c>
      <c r="X10" s="59">
        <v>6</v>
      </c>
      <c r="Y10" s="59">
        <v>5</v>
      </c>
      <c r="Z10" s="59">
        <v>4</v>
      </c>
      <c r="AF10" s="59">
        <v>-1</v>
      </c>
      <c r="AG10" s="59">
        <v>2</v>
      </c>
      <c r="AH10" s="59">
        <v>3</v>
      </c>
      <c r="AJ10" s="81"/>
      <c r="AK10" s="81"/>
      <c r="AL10" s="81"/>
      <c r="AN10" s="81"/>
      <c r="AO10" s="81"/>
      <c r="AP10" s="81"/>
      <c r="AW10" s="59">
        <v>0</v>
      </c>
      <c r="AX10" s="59">
        <v>1</v>
      </c>
      <c r="BC10" s="81"/>
      <c r="BD10" s="81"/>
    </row>
    <row r="11" spans="1:57">
      <c r="A11" s="104"/>
      <c r="B11" s="59">
        <v>3</v>
      </c>
      <c r="C11" s="59">
        <v>4</v>
      </c>
      <c r="E11" s="59">
        <v>7</v>
      </c>
      <c r="F11" s="59">
        <v>8</v>
      </c>
      <c r="P11" s="59">
        <v>7</v>
      </c>
      <c r="Q11" s="59">
        <v>8</v>
      </c>
      <c r="R11" s="59">
        <v>9</v>
      </c>
      <c r="T11" s="59">
        <v>3</v>
      </c>
      <c r="U11" s="59">
        <v>2</v>
      </c>
      <c r="V11" s="59">
        <v>1</v>
      </c>
      <c r="X11" s="59">
        <v>1</v>
      </c>
      <c r="Y11" s="59">
        <v>2</v>
      </c>
      <c r="Z11" s="59">
        <v>3</v>
      </c>
      <c r="AF11" s="59">
        <v>1</v>
      </c>
      <c r="AG11" s="59">
        <v>2</v>
      </c>
      <c r="AH11" s="59">
        <v>-3</v>
      </c>
      <c r="AJ11" s="81"/>
      <c r="AK11" s="81"/>
      <c r="AL11" s="81"/>
      <c r="AN11" s="81"/>
      <c r="AO11" s="81"/>
      <c r="AP11" s="81"/>
      <c r="AW11" s="59">
        <v>1</v>
      </c>
      <c r="AX11" s="59">
        <v>1</v>
      </c>
      <c r="BC11" s="81"/>
      <c r="BD11" s="81"/>
    </row>
    <row r="13" spans="1:57">
      <c r="A13" s="104" t="s">
        <v>399</v>
      </c>
      <c r="B13" s="99" t="s">
        <v>396</v>
      </c>
      <c r="C13" s="99"/>
      <c r="D13" s="59" t="s">
        <v>544</v>
      </c>
      <c r="E13" s="102" t="s">
        <v>397</v>
      </c>
      <c r="F13" s="102"/>
      <c r="G13" s="59" t="s">
        <v>401</v>
      </c>
      <c r="H13" s="98" t="s">
        <v>545</v>
      </c>
      <c r="I13" s="98"/>
      <c r="P13" s="102" t="s">
        <v>407</v>
      </c>
      <c r="Q13" s="102"/>
      <c r="R13" s="102"/>
      <c r="T13" s="102" t="s">
        <v>405</v>
      </c>
      <c r="U13" s="102"/>
      <c r="V13" s="102"/>
      <c r="AF13" s="101" t="s">
        <v>431</v>
      </c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W13" s="64" t="s">
        <v>439</v>
      </c>
      <c r="AX13" s="64" t="s">
        <v>440</v>
      </c>
      <c r="AZ13" s="102" t="s">
        <v>443</v>
      </c>
      <c r="BA13" s="102"/>
      <c r="BC13" s="98" t="s">
        <v>444</v>
      </c>
      <c r="BD13" s="98"/>
    </row>
    <row r="14" spans="1:57">
      <c r="A14" s="104"/>
      <c r="B14" s="59">
        <v>1</v>
      </c>
      <c r="C14" s="59">
        <v>2</v>
      </c>
      <c r="E14" s="59">
        <v>9</v>
      </c>
      <c r="F14" s="59">
        <v>8</v>
      </c>
      <c r="P14" s="81"/>
      <c r="Q14" s="81"/>
      <c r="R14" s="81"/>
      <c r="T14" s="81"/>
      <c r="U14" s="81"/>
      <c r="V14" s="81"/>
      <c r="AF14" s="99" t="s">
        <v>396</v>
      </c>
      <c r="AG14" s="99"/>
      <c r="AH14" s="99"/>
      <c r="AJ14" s="100" t="s">
        <v>397</v>
      </c>
      <c r="AK14" s="100"/>
      <c r="AL14" s="100"/>
      <c r="AN14" s="102" t="s">
        <v>409</v>
      </c>
      <c r="AO14" s="102"/>
      <c r="AP14" s="102"/>
      <c r="AR14" s="102" t="s">
        <v>432</v>
      </c>
      <c r="AS14" s="102"/>
      <c r="AT14" s="102"/>
      <c r="AW14" s="59">
        <v>0</v>
      </c>
      <c r="AX14" s="59">
        <v>0</v>
      </c>
      <c r="AZ14" s="59">
        <v>0.5</v>
      </c>
      <c r="BA14" s="59">
        <v>0</v>
      </c>
      <c r="BC14" s="81"/>
      <c r="BD14" s="81"/>
    </row>
    <row r="15" spans="1:57">
      <c r="A15" s="104"/>
      <c r="B15" s="59">
        <v>3</v>
      </c>
      <c r="C15" s="59">
        <v>4</v>
      </c>
      <c r="E15" s="59">
        <v>7</v>
      </c>
      <c r="F15" s="59">
        <v>6</v>
      </c>
      <c r="P15" s="81"/>
      <c r="Q15" s="81"/>
      <c r="R15" s="81"/>
      <c r="T15" s="81"/>
      <c r="U15" s="81"/>
      <c r="V15" s="81"/>
      <c r="AF15" s="59">
        <v>1</v>
      </c>
      <c r="AG15" s="59">
        <v>-2</v>
      </c>
      <c r="AH15" s="59">
        <v>3</v>
      </c>
      <c r="AJ15" s="59">
        <v>1</v>
      </c>
      <c r="AK15" s="59">
        <v>2</v>
      </c>
      <c r="AL15" s="59">
        <v>-1</v>
      </c>
      <c r="AN15" s="81"/>
      <c r="AO15" s="81"/>
      <c r="AP15" s="81"/>
      <c r="AR15" s="82"/>
      <c r="AS15" s="82"/>
      <c r="AT15" s="82"/>
      <c r="AW15" s="59">
        <v>1</v>
      </c>
      <c r="AX15" s="59">
        <v>0</v>
      </c>
      <c r="AZ15" s="59">
        <v>0</v>
      </c>
      <c r="BA15" s="59">
        <v>0.5</v>
      </c>
      <c r="BC15" s="81"/>
      <c r="BD15" s="81"/>
    </row>
    <row r="16" spans="1:57">
      <c r="P16" s="81"/>
      <c r="Q16" s="81"/>
      <c r="R16" s="81"/>
      <c r="T16" s="81"/>
      <c r="U16" s="81"/>
      <c r="V16" s="81"/>
      <c r="AF16" s="59">
        <v>-1</v>
      </c>
      <c r="AG16" s="59">
        <v>2</v>
      </c>
      <c r="AH16" s="59">
        <v>3</v>
      </c>
      <c r="AJ16" s="59">
        <v>2</v>
      </c>
      <c r="AK16" s="59">
        <v>3</v>
      </c>
      <c r="AL16" s="59">
        <v>-4</v>
      </c>
      <c r="AN16" s="81"/>
      <c r="AO16" s="81"/>
      <c r="AP16" s="81"/>
      <c r="AR16" s="82"/>
      <c r="AS16" s="82"/>
      <c r="AT16" s="82"/>
      <c r="AW16" s="59">
        <v>0</v>
      </c>
      <c r="AX16" s="59">
        <v>1</v>
      </c>
      <c r="BC16" s="81"/>
      <c r="BD16" s="81"/>
    </row>
    <row r="17" spans="1:62">
      <c r="A17" s="101" t="s">
        <v>424</v>
      </c>
      <c r="B17" s="101"/>
      <c r="C17" s="101"/>
      <c r="D17" s="101"/>
      <c r="E17" s="101"/>
      <c r="F17" s="101"/>
      <c r="G17" s="101"/>
      <c r="H17" s="101"/>
      <c r="I17" s="101"/>
      <c r="AF17" s="59">
        <v>1</v>
      </c>
      <c r="AG17" s="59">
        <v>2</v>
      </c>
      <c r="AH17" s="59">
        <v>-3</v>
      </c>
      <c r="AJ17" s="59">
        <v>3</v>
      </c>
      <c r="AK17" s="59">
        <v>2</v>
      </c>
      <c r="AL17" s="59">
        <v>1</v>
      </c>
      <c r="AN17" s="81"/>
      <c r="AO17" s="81"/>
      <c r="AP17" s="81"/>
      <c r="AR17" s="82"/>
      <c r="AS17" s="82"/>
      <c r="AT17" s="82"/>
      <c r="AW17" s="59">
        <v>1</v>
      </c>
      <c r="AX17" s="59">
        <v>1</v>
      </c>
      <c r="BC17" s="81"/>
      <c r="BD17" s="81"/>
    </row>
    <row r="18" spans="1:62">
      <c r="A18" s="99" t="s">
        <v>396</v>
      </c>
      <c r="B18" s="99"/>
      <c r="C18" s="99"/>
      <c r="E18" s="102" t="s">
        <v>397</v>
      </c>
      <c r="F18" s="102"/>
      <c r="H18" s="98" t="s">
        <v>409</v>
      </c>
      <c r="I18" s="98"/>
      <c r="P18" s="102" t="s">
        <v>408</v>
      </c>
      <c r="Q18" s="102"/>
      <c r="R18" s="102"/>
      <c r="T18" s="102" t="s">
        <v>406</v>
      </c>
      <c r="U18" s="102"/>
      <c r="V18" s="102"/>
    </row>
    <row r="19" spans="1:62">
      <c r="A19" s="59">
        <v>1</v>
      </c>
      <c r="B19" s="59">
        <v>2</v>
      </c>
      <c r="C19" s="59">
        <v>3</v>
      </c>
      <c r="E19" s="59">
        <v>7</v>
      </c>
      <c r="F19" s="59">
        <v>8</v>
      </c>
      <c r="P19" s="81"/>
      <c r="Q19" s="81"/>
      <c r="R19" s="81"/>
      <c r="T19" s="81"/>
      <c r="U19" s="81"/>
      <c r="V19" s="81"/>
      <c r="AF19" s="99" t="s">
        <v>430</v>
      </c>
      <c r="AG19" s="99"/>
      <c r="AH19" s="99"/>
      <c r="AJ19" s="100" t="s">
        <v>433</v>
      </c>
      <c r="AK19" s="100"/>
      <c r="AL19" s="100"/>
      <c r="AR19" s="102" t="s">
        <v>546</v>
      </c>
      <c r="AS19" s="102"/>
      <c r="AT19" s="102"/>
      <c r="AW19" s="64" t="s">
        <v>439</v>
      </c>
      <c r="AX19" s="64" t="s">
        <v>440</v>
      </c>
      <c r="AZ19" s="102" t="s">
        <v>445</v>
      </c>
      <c r="BA19" s="102"/>
      <c r="BC19" s="99" t="s">
        <v>446</v>
      </c>
      <c r="BD19" s="99"/>
      <c r="BF19" s="100" t="s">
        <v>450</v>
      </c>
      <c r="BG19" s="100"/>
      <c r="BI19" s="98" t="s">
        <v>451</v>
      </c>
      <c r="BJ19" s="98"/>
    </row>
    <row r="20" spans="1:62">
      <c r="A20" s="59">
        <v>4</v>
      </c>
      <c r="B20" s="59">
        <v>5</v>
      </c>
      <c r="C20" s="59">
        <v>6</v>
      </c>
      <c r="E20" s="59">
        <v>9</v>
      </c>
      <c r="F20" s="59">
        <v>10</v>
      </c>
      <c r="P20" s="81"/>
      <c r="Q20" s="81"/>
      <c r="R20" s="81"/>
      <c r="T20" s="81"/>
      <c r="U20" s="81"/>
      <c r="V20" s="81"/>
      <c r="AF20" s="82"/>
      <c r="AG20" s="82"/>
      <c r="AH20" s="82"/>
      <c r="AI20" s="60"/>
      <c r="AJ20" s="82"/>
      <c r="AK20" s="82"/>
      <c r="AL20" s="82"/>
      <c r="AM20" s="60"/>
      <c r="AN20" s="60"/>
      <c r="AO20" s="60"/>
      <c r="AP20" s="60"/>
      <c r="AQ20" s="60"/>
      <c r="AR20" s="82"/>
      <c r="AS20" s="82"/>
      <c r="AT20" s="82"/>
      <c r="AU20" s="61"/>
      <c r="AW20" s="59">
        <v>0</v>
      </c>
      <c r="AX20" s="59">
        <v>0</v>
      </c>
      <c r="AZ20" s="60">
        <f>SQRT(2)/2</f>
        <v>0.70710678118654757</v>
      </c>
      <c r="BA20" s="60">
        <f>-SQRT(2)/2</f>
        <v>-0.70710678118654757</v>
      </c>
      <c r="BC20" s="81"/>
      <c r="BD20" s="81"/>
      <c r="BF20" s="92">
        <v>2</v>
      </c>
      <c r="BG20" s="92">
        <v>3</v>
      </c>
      <c r="BI20" s="81"/>
      <c r="BJ20" s="81"/>
    </row>
    <row r="21" spans="1:62">
      <c r="E21" s="59">
        <v>11</v>
      </c>
      <c r="F21" s="59">
        <v>12</v>
      </c>
      <c r="P21" s="81"/>
      <c r="Q21" s="81"/>
      <c r="R21" s="81"/>
      <c r="T21" s="81"/>
      <c r="U21" s="81"/>
      <c r="V21" s="81"/>
      <c r="AF21" s="82"/>
      <c r="AG21" s="82"/>
      <c r="AH21" s="82"/>
      <c r="AI21" s="60"/>
      <c r="AJ21" s="82"/>
      <c r="AK21" s="82"/>
      <c r="AL21" s="82"/>
      <c r="AM21" s="60"/>
      <c r="AN21" s="60"/>
      <c r="AO21" s="60"/>
      <c r="AP21" s="60"/>
      <c r="AQ21" s="60"/>
      <c r="AR21" s="82"/>
      <c r="AS21" s="82"/>
      <c r="AT21" s="82"/>
      <c r="AU21" s="61"/>
      <c r="AW21" s="59">
        <v>1</v>
      </c>
      <c r="AX21" s="59">
        <v>0</v>
      </c>
      <c r="AZ21" s="60">
        <f>SQRT(2)/2</f>
        <v>0.70710678118654757</v>
      </c>
      <c r="BA21" s="60">
        <f>SQRT(2)/2</f>
        <v>0.70710678118654757</v>
      </c>
      <c r="BC21" s="81"/>
      <c r="BD21" s="81"/>
      <c r="BI21" s="81"/>
      <c r="BJ21" s="81"/>
    </row>
    <row r="22" spans="1:62">
      <c r="AF22" s="82"/>
      <c r="AG22" s="82"/>
      <c r="AH22" s="82"/>
      <c r="AI22" s="60"/>
      <c r="AJ22" s="82"/>
      <c r="AK22" s="82"/>
      <c r="AL22" s="82"/>
      <c r="AM22" s="60"/>
      <c r="AN22" s="60"/>
      <c r="AO22" s="60"/>
      <c r="AP22" s="60"/>
      <c r="AQ22" s="60"/>
      <c r="AR22" s="82"/>
      <c r="AS22" s="82"/>
      <c r="AT22" s="82"/>
      <c r="AU22" s="61"/>
      <c r="AW22" s="59">
        <v>0</v>
      </c>
      <c r="AX22" s="59">
        <v>1</v>
      </c>
      <c r="AZ22" s="60"/>
      <c r="BA22" s="60"/>
      <c r="BC22" s="81"/>
      <c r="BD22" s="81"/>
      <c r="BI22" s="81"/>
      <c r="BJ22" s="81"/>
    </row>
    <row r="23" spans="1:62">
      <c r="P23" s="101" t="s">
        <v>418</v>
      </c>
      <c r="Q23" s="101"/>
      <c r="R23" s="101"/>
      <c r="S23" s="101"/>
      <c r="T23" s="101"/>
      <c r="U23" s="101"/>
      <c r="V23" s="101"/>
      <c r="W23" s="101"/>
      <c r="X23" s="101"/>
      <c r="Y23" s="101"/>
      <c r="Z23" s="101"/>
      <c r="AW23" s="59">
        <v>1</v>
      </c>
      <c r="AX23" s="59">
        <v>1</v>
      </c>
      <c r="AZ23" s="60"/>
      <c r="BA23" s="60"/>
      <c r="BC23" s="81"/>
      <c r="BD23" s="81"/>
      <c r="BI23" s="81"/>
      <c r="BJ23" s="81"/>
    </row>
    <row r="24" spans="1:62">
      <c r="A24" s="101" t="s">
        <v>425</v>
      </c>
      <c r="B24" s="101"/>
      <c r="C24" s="101"/>
      <c r="D24" s="101"/>
      <c r="E24" s="101"/>
      <c r="F24" s="101"/>
      <c r="G24" s="101"/>
      <c r="H24" s="101"/>
      <c r="I24" s="101"/>
      <c r="P24" s="99" t="s">
        <v>396</v>
      </c>
      <c r="Q24" s="99"/>
      <c r="R24" s="99"/>
      <c r="T24" s="100" t="s">
        <v>397</v>
      </c>
      <c r="U24" s="100"/>
      <c r="V24" s="100"/>
      <c r="X24" s="103" t="s">
        <v>404</v>
      </c>
      <c r="Y24" s="103"/>
      <c r="Z24" s="103"/>
      <c r="AF24" s="101" t="s">
        <v>434</v>
      </c>
      <c r="AG24" s="101"/>
      <c r="AH24" s="101"/>
      <c r="AI24" s="101"/>
      <c r="AJ24" s="101"/>
      <c r="AZ24" s="60"/>
      <c r="BA24" s="60"/>
    </row>
    <row r="25" spans="1:62">
      <c r="A25" s="99" t="s">
        <v>396</v>
      </c>
      <c r="B25" s="99"/>
      <c r="C25" s="99"/>
      <c r="E25" s="102" t="s">
        <v>397</v>
      </c>
      <c r="F25" s="102"/>
      <c r="H25" s="98" t="s">
        <v>409</v>
      </c>
      <c r="I25" s="98"/>
      <c r="P25" s="59">
        <v>1</v>
      </c>
      <c r="Q25" s="59">
        <v>2</v>
      </c>
      <c r="R25" s="59">
        <v>3</v>
      </c>
      <c r="T25" s="59">
        <v>9</v>
      </c>
      <c r="U25" s="59">
        <v>8</v>
      </c>
      <c r="V25" s="59">
        <v>7</v>
      </c>
      <c r="X25" s="59">
        <v>1</v>
      </c>
      <c r="Y25" s="59">
        <v>2</v>
      </c>
      <c r="Z25" s="59">
        <v>3</v>
      </c>
      <c r="AF25" s="99" t="s">
        <v>396</v>
      </c>
      <c r="AG25" s="99"/>
      <c r="AI25" s="99" t="s">
        <v>429</v>
      </c>
      <c r="AJ25" s="99"/>
      <c r="AW25" s="64" t="s">
        <v>439</v>
      </c>
      <c r="AX25" s="64" t="s">
        <v>440</v>
      </c>
      <c r="AZ25" s="97" t="s">
        <v>447</v>
      </c>
      <c r="BA25" s="97"/>
      <c r="BC25" s="98" t="s">
        <v>446</v>
      </c>
      <c r="BD25" s="98"/>
    </row>
    <row r="26" spans="1:62">
      <c r="A26" s="59">
        <v>1</v>
      </c>
      <c r="B26" s="59">
        <v>2</v>
      </c>
      <c r="C26" s="59">
        <v>3</v>
      </c>
      <c r="E26" s="59">
        <v>7</v>
      </c>
      <c r="F26" s="59">
        <v>8</v>
      </c>
      <c r="H26" s="59" t="e">
        <f t="array" ref="H26:I27">MMULT(A26:C27,E26:F29)</f>
        <v>#VALUE!</v>
      </c>
      <c r="I26" s="59" t="e">
        <v>#VALUE!</v>
      </c>
      <c r="P26" s="59">
        <v>4</v>
      </c>
      <c r="Q26" s="59">
        <v>5</v>
      </c>
      <c r="R26" s="59">
        <v>6</v>
      </c>
      <c r="T26" s="59">
        <v>6</v>
      </c>
      <c r="U26" s="59">
        <v>5</v>
      </c>
      <c r="V26" s="59">
        <v>4</v>
      </c>
      <c r="X26" s="59">
        <v>6</v>
      </c>
      <c r="Y26" s="59">
        <v>5</v>
      </c>
      <c r="Z26" s="59">
        <v>4</v>
      </c>
      <c r="AF26" s="59">
        <v>1</v>
      </c>
      <c r="AG26" s="59">
        <v>2</v>
      </c>
      <c r="AI26" s="81"/>
      <c r="AJ26" s="82"/>
      <c r="AW26" s="59">
        <v>0</v>
      </c>
      <c r="AX26" s="59">
        <v>0</v>
      </c>
      <c r="AZ26" s="60">
        <f>SQRT(3)/2</f>
        <v>0.8660254037844386</v>
      </c>
      <c r="BA26" s="60">
        <v>0.5</v>
      </c>
      <c r="BC26" s="81"/>
      <c r="BD26" s="81"/>
    </row>
    <row r="27" spans="1:62">
      <c r="A27" s="59">
        <v>4</v>
      </c>
      <c r="B27" s="59">
        <v>5</v>
      </c>
      <c r="C27" s="59">
        <v>6</v>
      </c>
      <c r="E27" s="59">
        <v>9</v>
      </c>
      <c r="F27" s="59">
        <v>10</v>
      </c>
      <c r="H27" s="59" t="e">
        <v>#VALUE!</v>
      </c>
      <c r="I27" s="59" t="e">
        <v>#VALUE!</v>
      </c>
      <c r="P27" s="59">
        <v>7</v>
      </c>
      <c r="Q27" s="59">
        <v>8</v>
      </c>
      <c r="R27" s="59">
        <v>9</v>
      </c>
      <c r="T27" s="59">
        <v>3</v>
      </c>
      <c r="U27" s="59">
        <v>2</v>
      </c>
      <c r="V27" s="59">
        <v>1</v>
      </c>
      <c r="X27" s="59">
        <v>1</v>
      </c>
      <c r="Y27" s="59">
        <v>2</v>
      </c>
      <c r="Z27" s="59">
        <v>3</v>
      </c>
      <c r="AF27" s="59">
        <v>1</v>
      </c>
      <c r="AG27" s="59">
        <v>2</v>
      </c>
      <c r="AI27" s="81"/>
      <c r="AJ27" s="82"/>
      <c r="AW27" s="59">
        <v>1</v>
      </c>
      <c r="AX27" s="59">
        <v>0</v>
      </c>
      <c r="AZ27" s="60">
        <v>-0.5</v>
      </c>
      <c r="BA27" s="60">
        <f>SQRT(3)/2</f>
        <v>0.8660254037844386</v>
      </c>
      <c r="BC27" s="81"/>
      <c r="BD27" s="81"/>
    </row>
    <row r="28" spans="1:62">
      <c r="E28" s="59">
        <v>11</v>
      </c>
      <c r="F28" s="59">
        <v>12</v>
      </c>
      <c r="AJ28" s="60"/>
      <c r="AK28" s="60"/>
      <c r="AL28" s="60"/>
      <c r="AW28" s="59">
        <v>0</v>
      </c>
      <c r="AX28" s="59">
        <v>1</v>
      </c>
      <c r="BC28" s="81"/>
      <c r="BD28" s="81"/>
    </row>
    <row r="29" spans="1:62">
      <c r="E29" s="59">
        <v>13</v>
      </c>
      <c r="F29" s="59">
        <v>14</v>
      </c>
      <c r="P29" s="102" t="s">
        <v>410</v>
      </c>
      <c r="Q29" s="102"/>
      <c r="R29" s="102"/>
      <c r="X29" s="102" t="s">
        <v>411</v>
      </c>
      <c r="Y29" s="102"/>
      <c r="Z29" s="102"/>
      <c r="AW29" s="59">
        <v>1</v>
      </c>
      <c r="AX29" s="59">
        <v>1</v>
      </c>
      <c r="BC29" s="81"/>
      <c r="BD29" s="81"/>
    </row>
    <row r="30" spans="1:62">
      <c r="P30" s="81"/>
      <c r="Q30" s="81"/>
      <c r="R30" s="81"/>
      <c r="X30" s="81"/>
      <c r="Y30" s="81"/>
      <c r="Z30" s="81"/>
    </row>
    <row r="31" spans="1:62">
      <c r="A31" s="101" t="s">
        <v>426</v>
      </c>
      <c r="B31" s="101"/>
      <c r="C31" s="101"/>
      <c r="D31" s="101"/>
      <c r="E31" s="101"/>
      <c r="F31" s="101"/>
      <c r="G31" s="101"/>
      <c r="H31" s="101"/>
      <c r="I31" s="101"/>
      <c r="P31" s="81"/>
      <c r="Q31" s="81"/>
      <c r="R31" s="81"/>
      <c r="X31" s="81"/>
      <c r="Y31" s="81"/>
      <c r="Z31" s="81"/>
      <c r="AW31" s="64" t="s">
        <v>439</v>
      </c>
      <c r="AX31" s="64" t="s">
        <v>440</v>
      </c>
      <c r="AZ31" s="97" t="s">
        <v>448</v>
      </c>
      <c r="BA31" s="97"/>
      <c r="BC31" s="98" t="s">
        <v>446</v>
      </c>
      <c r="BD31" s="98"/>
    </row>
    <row r="32" spans="1:62">
      <c r="A32" s="99" t="s">
        <v>396</v>
      </c>
      <c r="B32" s="99"/>
      <c r="C32" s="99"/>
      <c r="E32" s="102" t="s">
        <v>397</v>
      </c>
      <c r="F32" s="102"/>
      <c r="H32" s="98" t="s">
        <v>409</v>
      </c>
      <c r="I32" s="98"/>
      <c r="P32" s="81"/>
      <c r="Q32" s="81"/>
      <c r="R32" s="81"/>
      <c r="X32" s="81"/>
      <c r="Y32" s="81"/>
      <c r="Z32" s="81"/>
      <c r="AW32" s="59">
        <v>0</v>
      </c>
      <c r="AX32" s="59">
        <v>0</v>
      </c>
      <c r="AZ32" s="82"/>
      <c r="BA32" s="82"/>
      <c r="BC32" s="81"/>
      <c r="BD32" s="81"/>
    </row>
    <row r="33" spans="1:56">
      <c r="A33" s="59">
        <v>1</v>
      </c>
      <c r="B33" s="59">
        <v>2</v>
      </c>
      <c r="C33" s="59">
        <v>3</v>
      </c>
      <c r="E33" s="59">
        <v>7</v>
      </c>
      <c r="F33" s="59">
        <v>8</v>
      </c>
      <c r="H33" s="59">
        <f t="array" ref="H33:J35">MMULT(A33:C34,E33:F35)</f>
        <v>58</v>
      </c>
      <c r="I33" s="59">
        <v>64</v>
      </c>
      <c r="J33" s="59" t="e">
        <v>#N/A</v>
      </c>
      <c r="AW33" s="59">
        <v>0.8660254037844386</v>
      </c>
      <c r="AX33" s="59">
        <v>0.5</v>
      </c>
      <c r="AZ33" s="82"/>
      <c r="BA33" s="82"/>
      <c r="BC33" s="81"/>
      <c r="BD33" s="81"/>
    </row>
    <row r="34" spans="1:56">
      <c r="A34" s="59">
        <v>4</v>
      </c>
      <c r="B34" s="59">
        <v>5</v>
      </c>
      <c r="C34" s="59">
        <v>6</v>
      </c>
      <c r="E34" s="59">
        <v>9</v>
      </c>
      <c r="F34" s="59">
        <v>10</v>
      </c>
      <c r="H34" s="59">
        <v>139</v>
      </c>
      <c r="I34" s="59">
        <v>154</v>
      </c>
      <c r="J34" s="59" t="e">
        <v>#N/A</v>
      </c>
      <c r="P34" s="102" t="s">
        <v>409</v>
      </c>
      <c r="Q34" s="102"/>
      <c r="R34" s="102"/>
      <c r="T34" s="102" t="s">
        <v>412</v>
      </c>
      <c r="U34" s="102"/>
      <c r="V34" s="102"/>
      <c r="X34" s="102" t="s">
        <v>413</v>
      </c>
      <c r="Y34" s="102"/>
      <c r="Z34" s="102"/>
      <c r="AW34" s="59">
        <v>-0.5</v>
      </c>
      <c r="AX34" s="59">
        <v>0.8660254037844386</v>
      </c>
      <c r="BC34" s="81"/>
      <c r="BD34" s="81"/>
    </row>
    <row r="35" spans="1:56">
      <c r="E35" s="59">
        <v>11</v>
      </c>
      <c r="F35" s="59">
        <v>12</v>
      </c>
      <c r="H35" s="59" t="e">
        <v>#N/A</v>
      </c>
      <c r="I35" s="59" t="e">
        <v>#N/A</v>
      </c>
      <c r="J35" s="59" t="e">
        <v>#N/A</v>
      </c>
      <c r="P35" s="81"/>
      <c r="Q35" s="81"/>
      <c r="R35" s="81"/>
      <c r="T35" s="81"/>
      <c r="U35" s="81"/>
      <c r="V35" s="81"/>
      <c r="X35" s="81"/>
      <c r="Y35" s="81"/>
      <c r="Z35" s="81"/>
      <c r="AW35" s="59">
        <v>0.3660254037844386</v>
      </c>
      <c r="AX35" s="59">
        <v>1.3660254037844386</v>
      </c>
      <c r="BC35" s="81"/>
      <c r="BD35" s="81"/>
    </row>
    <row r="36" spans="1:56">
      <c r="P36" s="81"/>
      <c r="Q36" s="81"/>
      <c r="R36" s="81"/>
      <c r="T36" s="81"/>
      <c r="U36" s="81"/>
      <c r="V36" s="81"/>
      <c r="X36" s="81"/>
      <c r="Y36" s="81"/>
      <c r="Z36" s="81"/>
    </row>
    <row r="37" spans="1:56">
      <c r="A37" s="101" t="s">
        <v>427</v>
      </c>
      <c r="B37" s="101"/>
      <c r="C37" s="101"/>
      <c r="D37" s="101"/>
      <c r="E37" s="101"/>
      <c r="F37" s="101"/>
      <c r="G37" s="101"/>
      <c r="H37" s="101"/>
      <c r="I37" s="101"/>
      <c r="P37" s="81"/>
      <c r="Q37" s="81"/>
      <c r="R37" s="81"/>
      <c r="T37" s="81"/>
      <c r="U37" s="81"/>
      <c r="V37" s="81"/>
      <c r="X37" s="81"/>
      <c r="Y37" s="81"/>
      <c r="Z37" s="81"/>
    </row>
    <row r="38" spans="1:56">
      <c r="A38" s="99" t="s">
        <v>396</v>
      </c>
      <c r="B38" s="99"/>
      <c r="C38" s="99"/>
      <c r="E38" s="102" t="s">
        <v>397</v>
      </c>
      <c r="F38" s="102"/>
      <c r="H38" s="98" t="s">
        <v>409</v>
      </c>
      <c r="I38" s="98"/>
    </row>
    <row r="39" spans="1:56">
      <c r="A39" s="59">
        <v>1</v>
      </c>
      <c r="B39" s="59">
        <v>2</v>
      </c>
      <c r="C39" s="59">
        <v>3</v>
      </c>
      <c r="E39" s="59">
        <v>7</v>
      </c>
      <c r="F39" s="59">
        <v>8</v>
      </c>
      <c r="H39" s="59">
        <f t="array" ref="H39:H40">MMULT(A39:C40,E39:F41)</f>
        <v>58</v>
      </c>
      <c r="P39" s="102" t="s">
        <v>414</v>
      </c>
      <c r="Q39" s="102"/>
      <c r="R39" s="102"/>
      <c r="X39" s="102" t="s">
        <v>415</v>
      </c>
      <c r="Y39" s="102"/>
      <c r="Z39" s="102"/>
    </row>
    <row r="40" spans="1:56">
      <c r="A40" s="59">
        <v>4</v>
      </c>
      <c r="B40" s="59">
        <v>5</v>
      </c>
      <c r="C40" s="59">
        <v>6</v>
      </c>
      <c r="E40" s="59">
        <v>9</v>
      </c>
      <c r="F40" s="59">
        <v>10</v>
      </c>
      <c r="H40" s="59">
        <v>139</v>
      </c>
      <c r="P40" s="81"/>
      <c r="Q40" s="81"/>
      <c r="R40" s="81"/>
      <c r="X40" s="81"/>
      <c r="Y40" s="81"/>
      <c r="Z40" s="81"/>
    </row>
    <row r="41" spans="1:56">
      <c r="E41" s="59">
        <v>11</v>
      </c>
      <c r="F41" s="59">
        <v>12</v>
      </c>
      <c r="P41" s="81"/>
      <c r="Q41" s="81"/>
      <c r="R41" s="81"/>
      <c r="X41" s="81"/>
      <c r="Y41" s="81"/>
      <c r="Z41" s="81"/>
      <c r="AG41" s="59">
        <f>(1+0.00001)</f>
        <v>1.0000100000000001</v>
      </c>
    </row>
    <row r="42" spans="1:56">
      <c r="P42" s="81"/>
      <c r="Q42" s="81"/>
      <c r="R42" s="81"/>
      <c r="X42" s="81"/>
      <c r="Y42" s="81"/>
      <c r="Z42" s="81"/>
    </row>
    <row r="44" spans="1:56">
      <c r="P44" s="102" t="s">
        <v>412</v>
      </c>
      <c r="Q44" s="102"/>
      <c r="R44" s="102"/>
      <c r="T44" s="102" t="s">
        <v>416</v>
      </c>
      <c r="U44" s="102"/>
      <c r="V44" s="102"/>
      <c r="X44" s="102" t="s">
        <v>417</v>
      </c>
      <c r="Y44" s="102"/>
      <c r="Z44" s="102"/>
    </row>
    <row r="45" spans="1:56">
      <c r="P45" s="81"/>
      <c r="Q45" s="81"/>
      <c r="R45" s="81"/>
      <c r="T45" s="81"/>
      <c r="U45" s="81"/>
      <c r="V45" s="81"/>
      <c r="X45" s="81"/>
      <c r="Y45" s="81"/>
      <c r="Z45" s="81"/>
    </row>
    <row r="46" spans="1:56">
      <c r="P46" s="81"/>
      <c r="Q46" s="81"/>
      <c r="R46" s="81"/>
      <c r="T46" s="81"/>
      <c r="U46" s="81"/>
      <c r="V46" s="81"/>
      <c r="X46" s="81"/>
      <c r="Y46" s="81"/>
      <c r="Z46" s="81"/>
    </row>
    <row r="47" spans="1:56">
      <c r="P47" s="81"/>
      <c r="Q47" s="81"/>
      <c r="R47" s="81"/>
      <c r="T47" s="81"/>
      <c r="U47" s="81"/>
      <c r="V47" s="81"/>
      <c r="X47" s="81"/>
      <c r="Y47" s="81"/>
      <c r="Z47" s="81"/>
    </row>
    <row r="50" spans="11:31">
      <c r="P50" s="101" t="s">
        <v>455</v>
      </c>
      <c r="Q50" s="101"/>
      <c r="R50" s="101"/>
      <c r="S50" s="101"/>
      <c r="T50" s="101"/>
      <c r="U50" s="101"/>
      <c r="V50" s="101"/>
      <c r="W50" s="101"/>
    </row>
    <row r="51" spans="11:31">
      <c r="P51" s="62" t="s">
        <v>453</v>
      </c>
      <c r="R51" s="102" t="s">
        <v>452</v>
      </c>
      <c r="S51" s="102"/>
      <c r="T51" s="102"/>
      <c r="U51" s="102"/>
      <c r="V51" s="102"/>
      <c r="W51" s="102"/>
    </row>
    <row r="52" spans="11:31">
      <c r="K52" s="3"/>
      <c r="P52" s="60">
        <v>-1.108105517944838</v>
      </c>
      <c r="Q52" s="60"/>
      <c r="R52" s="82"/>
      <c r="S52" s="82"/>
      <c r="T52" s="82"/>
      <c r="U52" s="82"/>
      <c r="V52" s="82"/>
      <c r="W52" s="82"/>
    </row>
    <row r="53" spans="11:31">
      <c r="K53" s="3"/>
      <c r="P53" s="60">
        <v>0.48756642789573235</v>
      </c>
      <c r="Q53" s="60"/>
      <c r="R53" s="60"/>
      <c r="S53" s="60"/>
      <c r="T53" s="60"/>
      <c r="U53" s="60"/>
      <c r="V53" s="60"/>
      <c r="W53" s="60"/>
    </row>
    <row r="54" spans="11:31">
      <c r="K54" s="3"/>
      <c r="P54" s="60">
        <v>1.5513477251227792</v>
      </c>
      <c r="Q54" s="60"/>
      <c r="R54" s="60"/>
      <c r="S54" s="60"/>
      <c r="T54" s="60"/>
      <c r="U54" s="60"/>
      <c r="V54" s="60"/>
      <c r="W54" s="60"/>
    </row>
    <row r="55" spans="11:31">
      <c r="K55" s="3"/>
      <c r="P55" s="60">
        <v>-0.57621486933131461</v>
      </c>
      <c r="Q55" s="60"/>
      <c r="R55" s="60"/>
      <c r="S55" s="60"/>
      <c r="T55" s="60"/>
      <c r="U55" s="60"/>
      <c r="V55" s="60"/>
      <c r="W55" s="60"/>
    </row>
    <row r="56" spans="11:31">
      <c r="K56" s="3"/>
      <c r="P56" s="60">
        <v>0.75351175220249411</v>
      </c>
      <c r="Q56" s="60"/>
      <c r="R56" s="102" t="s">
        <v>456</v>
      </c>
      <c r="S56" s="102"/>
      <c r="T56" s="81"/>
      <c r="U56" s="60"/>
      <c r="V56" s="60"/>
      <c r="W56" s="60"/>
    </row>
    <row r="57" spans="11:31">
      <c r="K57" s="3"/>
      <c r="P57" s="60">
        <v>-1.108105517944838</v>
      </c>
      <c r="Q57" s="60"/>
      <c r="R57" s="102" t="s">
        <v>454</v>
      </c>
      <c r="S57" s="102"/>
      <c r="T57" s="81"/>
      <c r="U57" s="60"/>
      <c r="V57" s="60"/>
      <c r="W57" s="60"/>
    </row>
    <row r="58" spans="11:31">
      <c r="K58" s="3"/>
    </row>
    <row r="61" spans="11:31">
      <c r="P61" s="101" t="s">
        <v>457</v>
      </c>
      <c r="Q61" s="101"/>
      <c r="R61" s="101"/>
      <c r="S61" s="101"/>
      <c r="T61" s="101"/>
      <c r="U61" s="101"/>
      <c r="V61" s="101"/>
      <c r="W61" s="101"/>
      <c r="Y61"/>
      <c r="Z61"/>
      <c r="AA61"/>
      <c r="AC61"/>
      <c r="AD61"/>
      <c r="AE61"/>
    </row>
    <row r="62" spans="11:31">
      <c r="P62" s="65" t="s">
        <v>11</v>
      </c>
      <c r="Q62" s="65" t="s">
        <v>12</v>
      </c>
      <c r="R62" s="65" t="s">
        <v>13</v>
      </c>
      <c r="AA62"/>
    </row>
    <row r="63" spans="11:31">
      <c r="P63" s="60">
        <v>0.44888291303384859</v>
      </c>
      <c r="Q63" s="60">
        <v>8.5592098502182315E-2</v>
      </c>
      <c r="R63" s="60">
        <v>-1.2909944487358056</v>
      </c>
      <c r="S63" s="60"/>
      <c r="T63" s="60"/>
      <c r="U63" s="60"/>
      <c r="V63" s="60"/>
      <c r="W63" s="60"/>
      <c r="AA63"/>
    </row>
    <row r="64" spans="11:31">
      <c r="P64" s="60">
        <v>0.51975916246024567</v>
      </c>
      <c r="Q64" s="60">
        <v>0.8559209850218259</v>
      </c>
      <c r="R64" s="60">
        <v>-0.32274861218395151</v>
      </c>
      <c r="S64" s="60"/>
      <c r="T64" s="60"/>
      <c r="U64" s="60"/>
      <c r="V64" s="60"/>
      <c r="W64" s="60"/>
      <c r="AA64"/>
    </row>
    <row r="65" spans="16:27">
      <c r="P65" s="60">
        <v>-2.0317858168900478</v>
      </c>
      <c r="Q65" s="60">
        <v>-1.0699012312772831</v>
      </c>
      <c r="R65" s="60">
        <v>1.6137430609197567</v>
      </c>
      <c r="S65" s="60"/>
      <c r="T65" s="60"/>
      <c r="U65" s="60"/>
      <c r="V65" s="60"/>
      <c r="W65" s="60"/>
      <c r="Y65"/>
      <c r="Z65"/>
      <c r="AA65"/>
    </row>
    <row r="66" spans="16:27">
      <c r="P66" s="60">
        <v>0.23625416475465746</v>
      </c>
      <c r="Q66" s="60">
        <v>1.1126972805283739</v>
      </c>
      <c r="R66" s="60">
        <v>-0.32274861218395151</v>
      </c>
      <c r="S66" s="60"/>
      <c r="T66" s="60"/>
      <c r="U66" s="60"/>
      <c r="V66" s="60"/>
      <c r="W66" s="60"/>
      <c r="Y66"/>
      <c r="Z66"/>
      <c r="AA66"/>
    </row>
    <row r="67" spans="16:27">
      <c r="P67" s="60">
        <v>0.37800666360745155</v>
      </c>
      <c r="Q67" s="60">
        <v>-1.3266775267838309</v>
      </c>
      <c r="R67" s="60">
        <v>-0.32274861218395151</v>
      </c>
      <c r="S67" s="60"/>
      <c r="T67" s="60"/>
      <c r="U67" s="60"/>
      <c r="V67" s="60"/>
      <c r="W67" s="60"/>
      <c r="Y67"/>
      <c r="Z67"/>
      <c r="AA67"/>
    </row>
    <row r="68" spans="16:27">
      <c r="P68" s="60">
        <v>0.44888291303384859</v>
      </c>
      <c r="Q68" s="60">
        <v>0.3423683940087302</v>
      </c>
      <c r="R68" s="60">
        <v>0.64549722436790258</v>
      </c>
      <c r="S68" s="60"/>
      <c r="T68" s="60"/>
      <c r="U68" s="60"/>
      <c r="V68" s="60"/>
      <c r="W68" s="60"/>
    </row>
    <row r="69" spans="16:27">
      <c r="P69" s="60"/>
      <c r="Q69" s="60"/>
      <c r="R69" s="60"/>
      <c r="S69" s="60"/>
      <c r="T69" s="60"/>
      <c r="U69" s="60"/>
      <c r="V69" s="60"/>
      <c r="W69" s="60"/>
    </row>
    <row r="70" spans="16:27">
      <c r="P70" s="60"/>
      <c r="Q70" s="60"/>
      <c r="R70" s="105" t="s">
        <v>459</v>
      </c>
      <c r="S70" s="105"/>
      <c r="T70" s="105"/>
      <c r="U70" s="105"/>
      <c r="V70" s="60"/>
      <c r="W70" s="60"/>
    </row>
    <row r="71" spans="16:27">
      <c r="P71" s="60"/>
      <c r="Q71" s="60"/>
      <c r="R71" s="60"/>
      <c r="S71" s="65" t="s">
        <v>11</v>
      </c>
      <c r="T71" s="65" t="s">
        <v>12</v>
      </c>
      <c r="U71" s="65" t="s">
        <v>13</v>
      </c>
      <c r="V71" s="60"/>
      <c r="W71" s="60"/>
    </row>
    <row r="72" spans="16:27">
      <c r="P72" s="60"/>
      <c r="Q72" s="60"/>
      <c r="R72" s="65" t="s">
        <v>11</v>
      </c>
      <c r="S72" s="83"/>
      <c r="T72" s="82"/>
      <c r="U72" s="82"/>
      <c r="V72" s="60"/>
      <c r="W72" s="60"/>
    </row>
    <row r="73" spans="16:27">
      <c r="P73" s="60"/>
      <c r="Q73" s="60"/>
      <c r="R73" s="65" t="s">
        <v>12</v>
      </c>
      <c r="S73" s="82"/>
      <c r="T73" s="83"/>
      <c r="U73" s="82"/>
      <c r="V73" s="60"/>
      <c r="W73" s="60"/>
    </row>
    <row r="74" spans="16:27">
      <c r="P74" s="60"/>
      <c r="Q74" s="60"/>
      <c r="R74" s="65" t="s">
        <v>13</v>
      </c>
      <c r="S74" s="82"/>
      <c r="T74" s="82"/>
      <c r="U74" s="83"/>
      <c r="V74" s="60"/>
      <c r="W74" s="60"/>
    </row>
    <row r="75" spans="16:27">
      <c r="P75" s="60"/>
      <c r="Q75" s="60"/>
      <c r="R75" s="60"/>
      <c r="S75" s="60"/>
      <c r="T75" s="60"/>
      <c r="U75" s="60"/>
      <c r="V75" s="60"/>
      <c r="W75" s="60"/>
    </row>
    <row r="76" spans="16:27">
      <c r="P76" s="60"/>
      <c r="Q76" s="60"/>
      <c r="R76" s="60"/>
      <c r="S76" s="60"/>
      <c r="T76" s="60"/>
      <c r="U76" s="60"/>
      <c r="V76" s="60"/>
      <c r="W76" s="60"/>
    </row>
    <row r="77" spans="16:27">
      <c r="P77" s="97" t="s">
        <v>458</v>
      </c>
      <c r="Q77" s="97"/>
      <c r="R77" s="97"/>
      <c r="S77" s="97"/>
      <c r="T77" s="97"/>
      <c r="U77" s="97"/>
      <c r="V77" s="97"/>
      <c r="W77" s="60"/>
    </row>
    <row r="78" spans="16:27">
      <c r="P78" s="82"/>
      <c r="Q78" s="82"/>
      <c r="R78" s="82"/>
      <c r="S78" s="82"/>
      <c r="T78" s="82"/>
      <c r="U78" s="84"/>
      <c r="V78" s="84"/>
      <c r="W78" s="60"/>
    </row>
    <row r="79" spans="16:27">
      <c r="P79" s="82"/>
      <c r="Q79" s="82"/>
      <c r="R79" s="82"/>
      <c r="S79" s="82"/>
      <c r="T79" s="82"/>
      <c r="U79" s="84"/>
      <c r="V79" s="84"/>
      <c r="W79" s="60"/>
    </row>
    <row r="80" spans="16:27">
      <c r="P80" s="82"/>
      <c r="Q80" s="82"/>
      <c r="R80" s="82"/>
      <c r="S80" s="82"/>
      <c r="T80" s="82"/>
      <c r="U80" s="84"/>
      <c r="V80" s="84"/>
      <c r="W80" s="60"/>
    </row>
    <row r="81" spans="16:23">
      <c r="P81" s="60"/>
      <c r="Q81" s="60"/>
      <c r="R81" s="60"/>
      <c r="S81" s="60"/>
      <c r="T81" s="60"/>
      <c r="U81" s="60"/>
      <c r="V81" s="60"/>
      <c r="W81" s="60"/>
    </row>
    <row r="82" spans="16:23">
      <c r="P82" s="60"/>
      <c r="Q82" s="60"/>
      <c r="R82" s="105" t="s">
        <v>460</v>
      </c>
      <c r="S82" s="105"/>
      <c r="T82" s="105"/>
      <c r="U82" s="105"/>
      <c r="V82" s="60"/>
      <c r="W82" s="60"/>
    </row>
    <row r="83" spans="16:23">
      <c r="P83" s="60"/>
      <c r="Q83" s="60"/>
      <c r="R83" s="60"/>
      <c r="S83" s="65" t="s">
        <v>11</v>
      </c>
      <c r="T83" s="65" t="s">
        <v>12</v>
      </c>
      <c r="U83" s="65" t="s">
        <v>13</v>
      </c>
      <c r="V83" s="60"/>
      <c r="W83" s="60"/>
    </row>
    <row r="84" spans="16:23">
      <c r="P84" s="60"/>
      <c r="Q84" s="60"/>
      <c r="R84" s="65" t="s">
        <v>11</v>
      </c>
      <c r="S84" s="83"/>
      <c r="T84" s="82"/>
      <c r="U84" s="82"/>
      <c r="V84" s="60"/>
      <c r="W84" s="60"/>
    </row>
    <row r="85" spans="16:23">
      <c r="P85" s="60"/>
      <c r="Q85" s="60"/>
      <c r="R85" s="65" t="s">
        <v>12</v>
      </c>
      <c r="S85" s="82"/>
      <c r="T85" s="83"/>
      <c r="U85" s="82"/>
      <c r="V85" s="60"/>
      <c r="W85" s="60"/>
    </row>
    <row r="86" spans="16:23">
      <c r="P86" s="60"/>
      <c r="Q86" s="60"/>
      <c r="R86" s="65" t="s">
        <v>13</v>
      </c>
      <c r="S86" s="82"/>
      <c r="T86" s="82"/>
      <c r="U86" s="83"/>
      <c r="V86" s="60"/>
      <c r="W86" s="60"/>
    </row>
    <row r="87" spans="16:23">
      <c r="P87" s="60"/>
      <c r="Q87" s="60"/>
      <c r="R87" s="60"/>
      <c r="S87" s="60"/>
      <c r="T87" s="60"/>
      <c r="U87" s="60"/>
      <c r="V87" s="60"/>
      <c r="W87" s="60"/>
    </row>
  </sheetData>
  <mergeCells count="97">
    <mergeCell ref="R56:S56"/>
    <mergeCell ref="R57:S57"/>
    <mergeCell ref="P61:W61"/>
    <mergeCell ref="R70:U70"/>
    <mergeCell ref="R82:U82"/>
    <mergeCell ref="P77:V77"/>
    <mergeCell ref="BC13:BD13"/>
    <mergeCell ref="AZ19:BA19"/>
    <mergeCell ref="R51:W51"/>
    <mergeCell ref="P50:W50"/>
    <mergeCell ref="AF13:AT13"/>
    <mergeCell ref="AI25:AJ25"/>
    <mergeCell ref="AF25:AG25"/>
    <mergeCell ref="AR14:AT14"/>
    <mergeCell ref="AF19:AH19"/>
    <mergeCell ref="AJ19:AL19"/>
    <mergeCell ref="AR19:AT19"/>
    <mergeCell ref="AF14:AH14"/>
    <mergeCell ref="AJ14:AL14"/>
    <mergeCell ref="AN14:AP14"/>
    <mergeCell ref="AF24:AJ24"/>
    <mergeCell ref="P44:R44"/>
    <mergeCell ref="AF8:AH8"/>
    <mergeCell ref="AJ8:AL8"/>
    <mergeCell ref="AN8:AP8"/>
    <mergeCell ref="AJ2:AL2"/>
    <mergeCell ref="AZ13:BA13"/>
    <mergeCell ref="A37:I37"/>
    <mergeCell ref="A38:C38"/>
    <mergeCell ref="E38:F38"/>
    <mergeCell ref="H38:I38"/>
    <mergeCell ref="AF2:AH2"/>
    <mergeCell ref="A25:C25"/>
    <mergeCell ref="E25:F25"/>
    <mergeCell ref="H25:I25"/>
    <mergeCell ref="A31:I31"/>
    <mergeCell ref="A32:C32"/>
    <mergeCell ref="E32:F32"/>
    <mergeCell ref="H32:I32"/>
    <mergeCell ref="E18:F18"/>
    <mergeCell ref="H18:I18"/>
    <mergeCell ref="A18:C18"/>
    <mergeCell ref="A24:I24"/>
    <mergeCell ref="A2:C2"/>
    <mergeCell ref="E2:H2"/>
    <mergeCell ref="A1:H1"/>
    <mergeCell ref="A17:I17"/>
    <mergeCell ref="B9:C9"/>
    <mergeCell ref="E9:F9"/>
    <mergeCell ref="H9:I9"/>
    <mergeCell ref="A9:A11"/>
    <mergeCell ref="A13:A15"/>
    <mergeCell ref="B13:C13"/>
    <mergeCell ref="E13:F13"/>
    <mergeCell ref="H13:I13"/>
    <mergeCell ref="A8:I8"/>
    <mergeCell ref="T44:V44"/>
    <mergeCell ref="X44:Z44"/>
    <mergeCell ref="P18:R18"/>
    <mergeCell ref="T18:V18"/>
    <mergeCell ref="P24:R24"/>
    <mergeCell ref="T24:V24"/>
    <mergeCell ref="X24:Z24"/>
    <mergeCell ref="P29:R29"/>
    <mergeCell ref="X29:Z29"/>
    <mergeCell ref="P23:Z23"/>
    <mergeCell ref="P34:R34"/>
    <mergeCell ref="T34:V34"/>
    <mergeCell ref="X34:Z34"/>
    <mergeCell ref="P39:R39"/>
    <mergeCell ref="X39:Z39"/>
    <mergeCell ref="P8:R8"/>
    <mergeCell ref="T8:V8"/>
    <mergeCell ref="P13:R13"/>
    <mergeCell ref="X8:Z8"/>
    <mergeCell ref="T13:V13"/>
    <mergeCell ref="P7:Z7"/>
    <mergeCell ref="P2:R2"/>
    <mergeCell ref="T2:V2"/>
    <mergeCell ref="BB2:BC2"/>
    <mergeCell ref="AW1:BE1"/>
    <mergeCell ref="BC7:BD7"/>
    <mergeCell ref="AZ7:BA7"/>
    <mergeCell ref="X2:Z2"/>
    <mergeCell ref="AB2:AD2"/>
    <mergeCell ref="P1:AD1"/>
    <mergeCell ref="AW2:AX2"/>
    <mergeCell ref="AF7:AP7"/>
    <mergeCell ref="AN2:AP2"/>
    <mergeCell ref="AF1:AP1"/>
    <mergeCell ref="AZ31:BA31"/>
    <mergeCell ref="BC31:BD31"/>
    <mergeCell ref="BI19:BJ19"/>
    <mergeCell ref="BC19:BD19"/>
    <mergeCell ref="BF19:BG19"/>
    <mergeCell ref="AZ25:BA25"/>
    <mergeCell ref="BC25:BD2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46"/>
  <sheetViews>
    <sheetView topLeftCell="A118" zoomScale="55" zoomScaleNormal="55" workbookViewId="0">
      <selection activeCell="B134" sqref="B134:N146"/>
    </sheetView>
  </sheetViews>
  <sheetFormatPr defaultColWidth="7.69921875" defaultRowHeight="17.399999999999999"/>
  <cols>
    <col min="1" max="1" width="11" style="11" bestFit="1" customWidth="1"/>
    <col min="2" max="2" width="8.59765625" style="11" customWidth="1"/>
    <col min="3" max="3" width="7.59765625" style="11" bestFit="1" customWidth="1"/>
    <col min="4" max="4" width="7.19921875" style="11" bestFit="1" customWidth="1"/>
    <col min="5" max="5" width="7.59765625" style="11" bestFit="1" customWidth="1"/>
    <col min="6" max="7" width="8.59765625" style="11" bestFit="1" customWidth="1"/>
    <col min="8" max="8" width="7.59765625" style="11" bestFit="1" customWidth="1"/>
    <col min="9" max="10" width="8.59765625" style="11" bestFit="1" customWidth="1"/>
    <col min="11" max="11" width="7.19921875" style="11" bestFit="1" customWidth="1"/>
    <col min="12" max="13" width="7.59765625" style="11" bestFit="1" customWidth="1"/>
    <col min="14" max="14" width="8.09765625" style="11" bestFit="1" customWidth="1"/>
    <col min="15" max="15" width="7.69921875" style="11"/>
    <col min="16" max="16" width="11.8984375" style="11" bestFit="1" customWidth="1"/>
    <col min="17" max="17" width="8.09765625" style="11" bestFit="1" customWidth="1"/>
    <col min="18" max="19" width="7.19921875" style="11" bestFit="1" customWidth="1"/>
    <col min="20" max="20" width="7.19921875" style="11" customWidth="1"/>
    <col min="21" max="25" width="7.19921875" style="11" bestFit="1" customWidth="1"/>
    <col min="26" max="29" width="8.5" style="11" bestFit="1" customWidth="1"/>
    <col min="30" max="16384" width="7.69921875" style="11"/>
  </cols>
  <sheetData>
    <row r="1" spans="1:14">
      <c r="A1" s="11" t="s">
        <v>372</v>
      </c>
      <c r="B1" s="57" t="s">
        <v>11</v>
      </c>
      <c r="C1" s="57" t="s">
        <v>373</v>
      </c>
      <c r="D1" s="57" t="s">
        <v>374</v>
      </c>
      <c r="E1" s="57" t="s">
        <v>14</v>
      </c>
      <c r="F1" s="57" t="s">
        <v>15</v>
      </c>
      <c r="G1" s="57" t="s">
        <v>16</v>
      </c>
      <c r="H1" s="57" t="s">
        <v>17</v>
      </c>
      <c r="I1" s="57" t="s">
        <v>18</v>
      </c>
      <c r="J1" s="57" t="s">
        <v>19</v>
      </c>
      <c r="K1" s="57" t="s">
        <v>20</v>
      </c>
      <c r="L1" s="57" t="s">
        <v>21</v>
      </c>
      <c r="M1" s="57" t="s">
        <v>22</v>
      </c>
      <c r="N1" s="57" t="s">
        <v>23</v>
      </c>
    </row>
    <row r="2" spans="1:14">
      <c r="A2" s="11" t="s">
        <v>48</v>
      </c>
      <c r="B2" s="57">
        <v>176</v>
      </c>
      <c r="C2" s="57">
        <v>34</v>
      </c>
      <c r="D2" s="57">
        <v>1</v>
      </c>
      <c r="E2" s="57">
        <v>5</v>
      </c>
      <c r="F2" s="57">
        <v>64</v>
      </c>
      <c r="G2" s="57">
        <v>84</v>
      </c>
      <c r="H2" s="57">
        <v>4</v>
      </c>
      <c r="I2" s="57">
        <v>44</v>
      </c>
      <c r="J2" s="57">
        <v>40</v>
      </c>
      <c r="K2" s="57">
        <v>0.37</v>
      </c>
      <c r="L2" s="57">
        <v>0.42</v>
      </c>
      <c r="M2" s="57">
        <v>0.47699999999999998</v>
      </c>
      <c r="N2" s="57">
        <v>0.89700000000000002</v>
      </c>
    </row>
    <row r="3" spans="1:14">
      <c r="A3" s="11" t="s">
        <v>49</v>
      </c>
      <c r="B3" s="57">
        <v>177</v>
      </c>
      <c r="C3" s="57">
        <v>40</v>
      </c>
      <c r="D3" s="57">
        <v>2</v>
      </c>
      <c r="E3" s="57">
        <v>20</v>
      </c>
      <c r="F3" s="57">
        <v>78</v>
      </c>
      <c r="G3" s="57">
        <v>91</v>
      </c>
      <c r="H3" s="57">
        <v>20</v>
      </c>
      <c r="I3" s="57">
        <v>51</v>
      </c>
      <c r="J3" s="57">
        <v>64</v>
      </c>
      <c r="K3" s="57">
        <v>0.36599999999999999</v>
      </c>
      <c r="L3" s="57">
        <v>0.42399999999999999</v>
      </c>
      <c r="M3" s="57">
        <v>0.58199999999999996</v>
      </c>
      <c r="N3" s="57">
        <v>1.006</v>
      </c>
    </row>
    <row r="4" spans="1:14">
      <c r="A4" s="11" t="s">
        <v>50</v>
      </c>
      <c r="B4" s="57">
        <v>141</v>
      </c>
      <c r="C4" s="57">
        <v>25</v>
      </c>
      <c r="D4" s="57">
        <v>4</v>
      </c>
      <c r="E4" s="57">
        <v>3</v>
      </c>
      <c r="F4" s="57">
        <v>47</v>
      </c>
      <c r="G4" s="57">
        <v>84</v>
      </c>
      <c r="H4" s="57">
        <v>11</v>
      </c>
      <c r="I4" s="57">
        <v>57</v>
      </c>
      <c r="J4" s="57">
        <v>51</v>
      </c>
      <c r="K4" s="57">
        <v>0.36299999999999999</v>
      </c>
      <c r="L4" s="57">
        <v>0.441</v>
      </c>
      <c r="M4" s="57">
        <v>0.47199999999999998</v>
      </c>
      <c r="N4" s="57">
        <v>0.91300000000000003</v>
      </c>
    </row>
    <row r="5" spans="1:14">
      <c r="A5" s="11" t="s">
        <v>51</v>
      </c>
      <c r="B5" s="57">
        <v>173</v>
      </c>
      <c r="C5" s="57">
        <v>42</v>
      </c>
      <c r="D5" s="57">
        <v>2</v>
      </c>
      <c r="E5" s="57">
        <v>24</v>
      </c>
      <c r="F5" s="57">
        <v>99</v>
      </c>
      <c r="G5" s="57">
        <v>103</v>
      </c>
      <c r="H5" s="57">
        <v>17</v>
      </c>
      <c r="I5" s="57">
        <v>60</v>
      </c>
      <c r="J5" s="57">
        <v>116</v>
      </c>
      <c r="K5" s="57">
        <v>0.34699999999999998</v>
      </c>
      <c r="L5" s="57">
        <v>0.41499999999999998</v>
      </c>
      <c r="M5" s="57">
        <v>0.58399999999999996</v>
      </c>
      <c r="N5" s="57">
        <v>1</v>
      </c>
    </row>
    <row r="6" spans="1:14">
      <c r="A6" s="11" t="s">
        <v>52</v>
      </c>
      <c r="B6" s="57">
        <v>175</v>
      </c>
      <c r="C6" s="57">
        <v>23</v>
      </c>
      <c r="D6" s="57">
        <v>2</v>
      </c>
      <c r="E6" s="57">
        <v>14</v>
      </c>
      <c r="F6" s="57">
        <v>90</v>
      </c>
      <c r="G6" s="57">
        <v>83</v>
      </c>
      <c r="H6" s="57">
        <v>4</v>
      </c>
      <c r="I6" s="57">
        <v>78</v>
      </c>
      <c r="J6" s="57">
        <v>88</v>
      </c>
      <c r="K6" s="57">
        <v>0.34399999999999997</v>
      </c>
      <c r="L6" s="57">
        <v>0.42499999999999999</v>
      </c>
      <c r="M6" s="57">
        <v>0.47899999999999998</v>
      </c>
      <c r="N6" s="57">
        <v>0.90400000000000003</v>
      </c>
    </row>
    <row r="7" spans="1:14">
      <c r="A7" s="11" t="s">
        <v>53</v>
      </c>
      <c r="B7" s="57">
        <v>176</v>
      </c>
      <c r="C7" s="57">
        <v>36</v>
      </c>
      <c r="D7" s="57">
        <v>3</v>
      </c>
      <c r="E7" s="57">
        <v>26</v>
      </c>
      <c r="F7" s="57">
        <v>120</v>
      </c>
      <c r="G7" s="57">
        <v>98</v>
      </c>
      <c r="H7" s="57">
        <v>0</v>
      </c>
      <c r="I7" s="57">
        <v>107</v>
      </c>
      <c r="J7" s="57">
        <v>82</v>
      </c>
      <c r="K7" s="57">
        <v>0.34200000000000003</v>
      </c>
      <c r="L7" s="57">
        <v>0.45</v>
      </c>
      <c r="M7" s="57">
        <v>0.57599999999999996</v>
      </c>
      <c r="N7" s="57">
        <v>1.026</v>
      </c>
    </row>
    <row r="8" spans="1:14">
      <c r="A8" s="11" t="s">
        <v>54</v>
      </c>
      <c r="B8" s="57">
        <v>185</v>
      </c>
      <c r="C8" s="57">
        <v>34</v>
      </c>
      <c r="D8" s="57">
        <v>2</v>
      </c>
      <c r="E8" s="57">
        <v>35</v>
      </c>
      <c r="F8" s="57">
        <v>115</v>
      </c>
      <c r="G8" s="57">
        <v>110</v>
      </c>
      <c r="H8" s="57">
        <v>4</v>
      </c>
      <c r="I8" s="57">
        <v>88</v>
      </c>
      <c r="J8" s="57">
        <v>123</v>
      </c>
      <c r="K8" s="57">
        <v>0.34</v>
      </c>
      <c r="L8" s="57">
        <v>0.42899999999999999</v>
      </c>
      <c r="M8" s="57">
        <v>0.60299999999999998</v>
      </c>
      <c r="N8" s="57">
        <v>1.032</v>
      </c>
    </row>
    <row r="9" spans="1:14">
      <c r="A9" s="11" t="s">
        <v>55</v>
      </c>
      <c r="B9" s="57">
        <v>151</v>
      </c>
      <c r="C9" s="57">
        <v>30</v>
      </c>
      <c r="D9" s="57">
        <v>1</v>
      </c>
      <c r="E9" s="57">
        <v>37</v>
      </c>
      <c r="F9" s="57">
        <v>111</v>
      </c>
      <c r="G9" s="57">
        <v>100</v>
      </c>
      <c r="H9" s="57">
        <v>10</v>
      </c>
      <c r="I9" s="57">
        <v>60</v>
      </c>
      <c r="J9" s="57">
        <v>61</v>
      </c>
      <c r="K9" s="57">
        <v>0.33900000000000002</v>
      </c>
      <c r="L9" s="57">
        <v>0.41399999999999998</v>
      </c>
      <c r="M9" s="57">
        <v>0.66100000000000003</v>
      </c>
      <c r="N9" s="57">
        <v>1.0740000000000001</v>
      </c>
    </row>
    <row r="10" spans="1:14">
      <c r="A10" s="11" t="s">
        <v>56</v>
      </c>
      <c r="B10" s="57">
        <v>193</v>
      </c>
      <c r="C10" s="57">
        <v>35</v>
      </c>
      <c r="D10" s="57">
        <v>4</v>
      </c>
      <c r="E10" s="57">
        <v>20</v>
      </c>
      <c r="F10" s="57">
        <v>80</v>
      </c>
      <c r="G10" s="57">
        <v>113</v>
      </c>
      <c r="H10" s="57">
        <v>25</v>
      </c>
      <c r="I10" s="57">
        <v>87</v>
      </c>
      <c r="J10" s="57">
        <v>96</v>
      </c>
      <c r="K10" s="57">
        <v>0.33500000000000002</v>
      </c>
      <c r="L10" s="57">
        <v>0.42</v>
      </c>
      <c r="M10" s="57">
        <v>0.51400000000000001</v>
      </c>
      <c r="N10" s="57">
        <v>0.93400000000000005</v>
      </c>
    </row>
    <row r="11" spans="1:14">
      <c r="A11" s="11" t="s">
        <v>57</v>
      </c>
      <c r="B11" s="57">
        <v>179</v>
      </c>
      <c r="C11" s="57">
        <v>28</v>
      </c>
      <c r="D11" s="57">
        <v>3</v>
      </c>
      <c r="E11" s="57">
        <v>6</v>
      </c>
      <c r="F11" s="57">
        <v>76</v>
      </c>
      <c r="G11" s="57">
        <v>87</v>
      </c>
      <c r="H11" s="57">
        <v>15</v>
      </c>
      <c r="I11" s="57">
        <v>68</v>
      </c>
      <c r="J11" s="57">
        <v>68</v>
      </c>
      <c r="K11" s="57">
        <v>0.33200000000000002</v>
      </c>
      <c r="L11" s="57">
        <v>0.40300000000000002</v>
      </c>
      <c r="M11" s="57">
        <v>0.42899999999999999</v>
      </c>
      <c r="N11" s="57">
        <v>0.83199999999999996</v>
      </c>
    </row>
    <row r="12" spans="1:14">
      <c r="A12" s="11" t="s">
        <v>58</v>
      </c>
      <c r="B12" s="57">
        <v>154</v>
      </c>
      <c r="C12" s="57">
        <v>24</v>
      </c>
      <c r="D12" s="57">
        <v>4</v>
      </c>
      <c r="E12" s="57">
        <v>9</v>
      </c>
      <c r="F12" s="57">
        <v>63</v>
      </c>
      <c r="G12" s="57">
        <v>79</v>
      </c>
      <c r="H12" s="57">
        <v>8</v>
      </c>
      <c r="I12" s="57">
        <v>31</v>
      </c>
      <c r="J12" s="57">
        <v>57</v>
      </c>
      <c r="K12" s="57">
        <v>0.33200000000000002</v>
      </c>
      <c r="L12" s="57">
        <v>0.371</v>
      </c>
      <c r="M12" s="57">
        <v>0.45900000000000002</v>
      </c>
      <c r="N12" s="57">
        <v>0.83099999999999996</v>
      </c>
    </row>
    <row r="13" spans="1:14">
      <c r="A13" s="11" t="s">
        <v>59</v>
      </c>
      <c r="B13" s="57">
        <v>143</v>
      </c>
      <c r="C13" s="57">
        <v>26</v>
      </c>
      <c r="D13" s="57">
        <v>0</v>
      </c>
      <c r="E13" s="57">
        <v>13</v>
      </c>
      <c r="F13" s="57">
        <v>75</v>
      </c>
      <c r="G13" s="57">
        <v>71</v>
      </c>
      <c r="H13" s="57">
        <v>2</v>
      </c>
      <c r="I13" s="57">
        <v>24</v>
      </c>
      <c r="J13" s="57">
        <v>88</v>
      </c>
      <c r="K13" s="57">
        <v>0.32700000000000001</v>
      </c>
      <c r="L13" s="57">
        <v>0.35599999999999998</v>
      </c>
      <c r="M13" s="57">
        <v>0.47599999999999998</v>
      </c>
      <c r="N13" s="57">
        <v>0.83199999999999996</v>
      </c>
    </row>
    <row r="14" spans="1:14">
      <c r="A14" s="11" t="s">
        <v>60</v>
      </c>
      <c r="B14" s="57">
        <v>179</v>
      </c>
      <c r="C14" s="57">
        <v>29</v>
      </c>
      <c r="D14" s="57">
        <v>8</v>
      </c>
      <c r="E14" s="57">
        <v>2</v>
      </c>
      <c r="F14" s="57">
        <v>47</v>
      </c>
      <c r="G14" s="57">
        <v>111</v>
      </c>
      <c r="H14" s="57">
        <v>12</v>
      </c>
      <c r="I14" s="57">
        <v>66</v>
      </c>
      <c r="J14" s="57">
        <v>67</v>
      </c>
      <c r="K14" s="57">
        <v>0.32400000000000001</v>
      </c>
      <c r="L14" s="57">
        <v>0.39500000000000002</v>
      </c>
      <c r="M14" s="57">
        <v>0.41699999999999998</v>
      </c>
      <c r="N14" s="57">
        <v>0.81200000000000006</v>
      </c>
    </row>
    <row r="15" spans="1:14">
      <c r="A15" s="11" t="s">
        <v>61</v>
      </c>
      <c r="B15" s="57">
        <v>146</v>
      </c>
      <c r="C15" s="57">
        <v>27</v>
      </c>
      <c r="D15" s="57">
        <v>1</v>
      </c>
      <c r="E15" s="57">
        <v>18</v>
      </c>
      <c r="F15" s="57">
        <v>69</v>
      </c>
      <c r="G15" s="57">
        <v>76</v>
      </c>
      <c r="H15" s="57">
        <v>2</v>
      </c>
      <c r="I15" s="57">
        <v>37</v>
      </c>
      <c r="J15" s="57">
        <v>70</v>
      </c>
      <c r="K15" s="57">
        <v>0.32100000000000001</v>
      </c>
      <c r="L15" s="57">
        <v>0.37</v>
      </c>
      <c r="M15" s="57">
        <v>0.503</v>
      </c>
      <c r="N15" s="57">
        <v>0.874</v>
      </c>
    </row>
    <row r="16" spans="1:14">
      <c r="A16" s="11" t="s">
        <v>62</v>
      </c>
      <c r="B16" s="57">
        <v>173</v>
      </c>
      <c r="C16" s="57">
        <v>13</v>
      </c>
      <c r="D16" s="57">
        <v>0</v>
      </c>
      <c r="E16" s="57">
        <v>34</v>
      </c>
      <c r="F16" s="57">
        <v>111</v>
      </c>
      <c r="G16" s="57">
        <v>73</v>
      </c>
      <c r="H16" s="57">
        <v>1</v>
      </c>
      <c r="I16" s="57">
        <v>65</v>
      </c>
      <c r="J16" s="57">
        <v>84</v>
      </c>
      <c r="K16" s="57">
        <v>0.32</v>
      </c>
      <c r="L16" s="57">
        <v>0.39100000000000001</v>
      </c>
      <c r="M16" s="57">
        <v>0.53300000000000003</v>
      </c>
      <c r="N16" s="57">
        <v>0.92500000000000004</v>
      </c>
    </row>
    <row r="17" spans="1:30">
      <c r="A17" s="11" t="s">
        <v>63</v>
      </c>
      <c r="B17" s="57">
        <v>178</v>
      </c>
      <c r="C17" s="57">
        <v>26</v>
      </c>
      <c r="D17" s="57">
        <v>8</v>
      </c>
      <c r="E17" s="57">
        <v>27</v>
      </c>
      <c r="F17" s="57">
        <v>111</v>
      </c>
      <c r="G17" s="57">
        <v>118</v>
      </c>
      <c r="H17" s="57">
        <v>32</v>
      </c>
      <c r="I17" s="57">
        <v>52</v>
      </c>
      <c r="J17" s="57">
        <v>112</v>
      </c>
      <c r="K17" s="57">
        <v>0.32</v>
      </c>
      <c r="L17" s="57">
        <v>0.372</v>
      </c>
      <c r="M17" s="57">
        <v>0.54</v>
      </c>
      <c r="N17" s="57">
        <v>0.91300000000000003</v>
      </c>
    </row>
    <row r="18" spans="1:30">
      <c r="A18" s="11" t="s">
        <v>64</v>
      </c>
      <c r="B18" s="57">
        <v>136</v>
      </c>
      <c r="C18" s="57">
        <v>18</v>
      </c>
      <c r="D18" s="57">
        <v>1</v>
      </c>
      <c r="E18" s="57">
        <v>46</v>
      </c>
      <c r="F18" s="57">
        <v>113</v>
      </c>
      <c r="G18" s="57">
        <v>89</v>
      </c>
      <c r="H18" s="57">
        <v>1</v>
      </c>
      <c r="I18" s="57">
        <v>89</v>
      </c>
      <c r="J18" s="57">
        <v>107</v>
      </c>
      <c r="K18" s="57">
        <v>0.316</v>
      </c>
      <c r="L18" s="57">
        <v>0.42699999999999999</v>
      </c>
      <c r="M18" s="57">
        <v>0.68400000000000005</v>
      </c>
      <c r="N18" s="57">
        <v>1.111</v>
      </c>
    </row>
    <row r="19" spans="1:30">
      <c r="A19" s="11" t="s">
        <v>65</v>
      </c>
      <c r="B19" s="57">
        <v>154</v>
      </c>
      <c r="C19" s="57">
        <v>29</v>
      </c>
      <c r="D19" s="57">
        <v>2</v>
      </c>
      <c r="E19" s="57">
        <v>21</v>
      </c>
      <c r="F19" s="57">
        <v>93</v>
      </c>
      <c r="G19" s="57">
        <v>95</v>
      </c>
      <c r="H19" s="57">
        <v>7</v>
      </c>
      <c r="I19" s="57">
        <v>47</v>
      </c>
      <c r="J19" s="57">
        <v>70</v>
      </c>
      <c r="K19" s="57">
        <v>0.316</v>
      </c>
      <c r="L19" s="57">
        <v>0.373</v>
      </c>
      <c r="M19" s="57">
        <v>0.51300000000000001</v>
      </c>
      <c r="N19" s="57">
        <v>0.88600000000000001</v>
      </c>
    </row>
    <row r="20" spans="1:30">
      <c r="A20" s="11" t="s">
        <v>66</v>
      </c>
      <c r="B20" s="57">
        <v>162</v>
      </c>
      <c r="C20" s="57">
        <v>38</v>
      </c>
      <c r="D20" s="57">
        <v>0</v>
      </c>
      <c r="E20" s="57">
        <v>31</v>
      </c>
      <c r="F20" s="57">
        <v>124</v>
      </c>
      <c r="G20" s="57">
        <v>90</v>
      </c>
      <c r="H20" s="57">
        <v>2</v>
      </c>
      <c r="I20" s="57">
        <v>72</v>
      </c>
      <c r="J20" s="57">
        <v>107</v>
      </c>
      <c r="K20" s="57">
        <v>0.315</v>
      </c>
      <c r="L20" s="57">
        <v>0.39600000000000002</v>
      </c>
      <c r="M20" s="57">
        <v>0.56899999999999995</v>
      </c>
      <c r="N20" s="57">
        <v>0.96499999999999997</v>
      </c>
    </row>
    <row r="21" spans="1:30">
      <c r="A21" s="11" t="s">
        <v>67</v>
      </c>
      <c r="B21" s="57">
        <v>168</v>
      </c>
      <c r="C21" s="57">
        <v>30</v>
      </c>
      <c r="D21" s="57">
        <v>1</v>
      </c>
      <c r="E21" s="57">
        <v>20</v>
      </c>
      <c r="F21" s="57">
        <v>105</v>
      </c>
      <c r="G21" s="57">
        <v>90</v>
      </c>
      <c r="H21" s="57">
        <v>0</v>
      </c>
      <c r="I21" s="57">
        <v>41</v>
      </c>
      <c r="J21" s="57">
        <v>85</v>
      </c>
      <c r="K21" s="57">
        <v>0.312</v>
      </c>
      <c r="L21" s="57">
        <v>0.35699999999999998</v>
      </c>
      <c r="M21" s="57">
        <v>0.48299999999999998</v>
      </c>
      <c r="N21" s="57">
        <v>0.84</v>
      </c>
    </row>
    <row r="22" spans="1:30">
      <c r="A22" s="4" t="s">
        <v>375</v>
      </c>
      <c r="B22" s="4">
        <f t="shared" ref="B22:N22" si="0">AVERAGE(B2:B21)</f>
        <v>165.95</v>
      </c>
      <c r="C22" s="4">
        <f t="shared" si="0"/>
        <v>29.35</v>
      </c>
      <c r="D22" s="4">
        <f t="shared" si="0"/>
        <v>2.4500000000000002</v>
      </c>
      <c r="E22" s="4">
        <f t="shared" si="0"/>
        <v>20.55</v>
      </c>
      <c r="F22" s="4">
        <f t="shared" si="0"/>
        <v>89.55</v>
      </c>
      <c r="G22" s="4">
        <f t="shared" si="0"/>
        <v>92.25</v>
      </c>
      <c r="H22" s="4">
        <f t="shared" si="0"/>
        <v>8.85</v>
      </c>
      <c r="I22" s="4">
        <f t="shared" si="0"/>
        <v>61.2</v>
      </c>
      <c r="J22" s="4">
        <f t="shared" si="0"/>
        <v>81.8</v>
      </c>
      <c r="K22" s="4">
        <f t="shared" si="0"/>
        <v>0.33405000000000001</v>
      </c>
      <c r="L22" s="4">
        <f t="shared" si="0"/>
        <v>0.40244999999999997</v>
      </c>
      <c r="M22" s="4">
        <f t="shared" si="0"/>
        <v>0.52769999999999995</v>
      </c>
      <c r="N22" s="4">
        <f t="shared" si="0"/>
        <v>0.93035000000000012</v>
      </c>
    </row>
    <row r="23" spans="1:30">
      <c r="A23" s="4" t="s">
        <v>376</v>
      </c>
      <c r="B23" s="4">
        <f>_xlfn.STDEV.S(B2:B21)</f>
        <v>16.317491422267992</v>
      </c>
      <c r="C23" s="4">
        <f t="shared" ref="C23:N23" si="1">_xlfn.STDEV.S(C2:C21)</f>
        <v>7.1911861257192333</v>
      </c>
      <c r="D23" s="4">
        <f t="shared" si="1"/>
        <v>2.282081229238369</v>
      </c>
      <c r="E23" s="4">
        <f t="shared" si="1"/>
        <v>12.240893500239702</v>
      </c>
      <c r="F23" s="4">
        <f t="shared" si="1"/>
        <v>24.119166870485316</v>
      </c>
      <c r="G23" s="4">
        <f t="shared" si="1"/>
        <v>13.591309142629576</v>
      </c>
      <c r="H23" s="4">
        <f t="shared" si="1"/>
        <v>8.9928334039711277</v>
      </c>
      <c r="I23" s="4">
        <f t="shared" si="1"/>
        <v>21.439265501951269</v>
      </c>
      <c r="J23" s="4">
        <f t="shared" si="1"/>
        <v>23.045949524237113</v>
      </c>
      <c r="K23" s="4">
        <f t="shared" si="1"/>
        <v>1.7421931127476257E-2</v>
      </c>
      <c r="L23" s="4">
        <f t="shared" si="1"/>
        <v>2.8305615957559413E-2</v>
      </c>
      <c r="M23" s="4">
        <f t="shared" si="1"/>
        <v>7.2056337607970103E-2</v>
      </c>
      <c r="N23" s="4">
        <f t="shared" si="1"/>
        <v>8.6907255465994218E-2</v>
      </c>
    </row>
    <row r="26" spans="1:30">
      <c r="A26" s="106" t="s">
        <v>377</v>
      </c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P26" s="106" t="s">
        <v>392</v>
      </c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</row>
    <row r="27" spans="1:30">
      <c r="A27" s="4" t="s">
        <v>372</v>
      </c>
      <c r="B27" s="57" t="s">
        <v>11</v>
      </c>
      <c r="C27" s="57" t="s">
        <v>373</v>
      </c>
      <c r="D27" s="57" t="s">
        <v>374</v>
      </c>
      <c r="E27" s="57" t="s">
        <v>14</v>
      </c>
      <c r="F27" s="57" t="s">
        <v>15</v>
      </c>
      <c r="G27" s="57" t="s">
        <v>16</v>
      </c>
      <c r="H27" s="57" t="s">
        <v>17</v>
      </c>
      <c r="I27" s="57" t="s">
        <v>18</v>
      </c>
      <c r="J27" s="57" t="s">
        <v>19</v>
      </c>
      <c r="K27" s="57" t="s">
        <v>20</v>
      </c>
      <c r="L27" s="57" t="s">
        <v>21</v>
      </c>
      <c r="M27" s="57" t="s">
        <v>22</v>
      </c>
      <c r="N27" s="57" t="s">
        <v>23</v>
      </c>
      <c r="P27" s="9"/>
      <c r="Q27" s="9" t="s">
        <v>193</v>
      </c>
      <c r="R27" s="9" t="s">
        <v>194</v>
      </c>
      <c r="S27" s="9" t="s">
        <v>195</v>
      </c>
      <c r="T27" s="9" t="s">
        <v>378</v>
      </c>
      <c r="U27" s="9" t="s">
        <v>379</v>
      </c>
      <c r="V27" s="9" t="s">
        <v>380</v>
      </c>
      <c r="W27" s="9" t="s">
        <v>381</v>
      </c>
      <c r="X27" s="9" t="s">
        <v>382</v>
      </c>
      <c r="Y27" s="9" t="s">
        <v>383</v>
      </c>
      <c r="Z27" s="9" t="s">
        <v>384</v>
      </c>
      <c r="AA27" s="9" t="s">
        <v>385</v>
      </c>
      <c r="AB27" s="9" t="s">
        <v>386</v>
      </c>
      <c r="AC27" s="9" t="s">
        <v>387</v>
      </c>
      <c r="AD27" s="58" t="s">
        <v>395</v>
      </c>
    </row>
    <row r="28" spans="1:30">
      <c r="A28" s="4" t="s">
        <v>48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P28" s="9" t="s">
        <v>199</v>
      </c>
      <c r="Q28" s="86"/>
      <c r="R28" s="86"/>
      <c r="S28" s="86"/>
      <c r="T28" s="86"/>
      <c r="U28" s="86"/>
      <c r="V28" s="86"/>
      <c r="W28" s="86"/>
      <c r="X28" s="86"/>
      <c r="Y28" s="86"/>
      <c r="Z28" s="86"/>
      <c r="AA28" s="86"/>
      <c r="AB28" s="86"/>
      <c r="AC28" s="86"/>
      <c r="AD28" s="58">
        <f>SUM(Q28:AC28)</f>
        <v>0</v>
      </c>
    </row>
    <row r="29" spans="1:30">
      <c r="A29" s="4" t="s">
        <v>49</v>
      </c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P29" s="11" t="s">
        <v>393</v>
      </c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</row>
    <row r="30" spans="1:30">
      <c r="A30" s="4" t="s">
        <v>50</v>
      </c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P30" s="11" t="s">
        <v>394</v>
      </c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</row>
    <row r="31" spans="1:30">
      <c r="A31" s="4" t="s">
        <v>51</v>
      </c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</row>
    <row r="32" spans="1:30">
      <c r="A32" s="4" t="s">
        <v>52</v>
      </c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P32" s="106" t="s">
        <v>391</v>
      </c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</row>
    <row r="33" spans="1:29">
      <c r="A33" s="4" t="s">
        <v>53</v>
      </c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P33" s="9"/>
      <c r="Q33" s="9" t="s">
        <v>193</v>
      </c>
      <c r="R33" s="9" t="s">
        <v>194</v>
      </c>
      <c r="S33" s="9" t="s">
        <v>195</v>
      </c>
      <c r="T33" s="9" t="s">
        <v>378</v>
      </c>
      <c r="U33" s="9" t="s">
        <v>379</v>
      </c>
      <c r="V33" s="9" t="s">
        <v>380</v>
      </c>
      <c r="W33" s="9" t="s">
        <v>381</v>
      </c>
      <c r="X33" s="9" t="s">
        <v>382</v>
      </c>
      <c r="Y33" s="9" t="s">
        <v>383</v>
      </c>
      <c r="Z33" s="9" t="s">
        <v>384</v>
      </c>
      <c r="AA33" s="9" t="s">
        <v>385</v>
      </c>
      <c r="AB33" s="9" t="s">
        <v>386</v>
      </c>
      <c r="AC33" s="9" t="s">
        <v>387</v>
      </c>
    </row>
    <row r="34" spans="1:29">
      <c r="A34" s="4" t="s">
        <v>54</v>
      </c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P34" s="9" t="s">
        <v>11</v>
      </c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  <c r="AC34" s="86"/>
    </row>
    <row r="35" spans="1:29">
      <c r="A35" s="4" t="s">
        <v>55</v>
      </c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P35" s="9" t="s">
        <v>191</v>
      </c>
      <c r="Q35" s="86"/>
      <c r="R35" s="86"/>
      <c r="S35" s="86"/>
      <c r="T35" s="86"/>
      <c r="U35" s="86"/>
      <c r="V35" s="86"/>
      <c r="W35" s="86"/>
      <c r="X35" s="86"/>
      <c r="Y35" s="86"/>
      <c r="Z35" s="86"/>
      <c r="AA35" s="86"/>
      <c r="AB35" s="86"/>
      <c r="AC35" s="86"/>
    </row>
    <row r="36" spans="1:29">
      <c r="A36" s="4" t="s">
        <v>56</v>
      </c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P36" s="9" t="s">
        <v>192</v>
      </c>
      <c r="Q36" s="86"/>
      <c r="R36" s="86"/>
      <c r="S36" s="86"/>
      <c r="T36" s="86"/>
      <c r="U36" s="86"/>
      <c r="V36" s="86"/>
      <c r="W36" s="86"/>
      <c r="X36" s="86"/>
      <c r="Y36" s="86"/>
      <c r="Z36" s="86"/>
      <c r="AA36" s="86"/>
      <c r="AB36" s="86"/>
      <c r="AC36" s="86"/>
    </row>
    <row r="37" spans="1:29">
      <c r="A37" s="4" t="s">
        <v>57</v>
      </c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P37" s="9" t="s">
        <v>14</v>
      </c>
      <c r="Q37" s="86"/>
      <c r="R37" s="86"/>
      <c r="S37" s="86"/>
      <c r="T37" s="86"/>
      <c r="U37" s="86"/>
      <c r="V37" s="86"/>
      <c r="W37" s="86"/>
      <c r="X37" s="86"/>
      <c r="Y37" s="86"/>
      <c r="Z37" s="86"/>
      <c r="AA37" s="86"/>
      <c r="AB37" s="86"/>
      <c r="AC37" s="86"/>
    </row>
    <row r="38" spans="1:29">
      <c r="A38" s="4" t="s">
        <v>58</v>
      </c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P38" s="9" t="s">
        <v>15</v>
      </c>
      <c r="Q38" s="86"/>
      <c r="R38" s="86"/>
      <c r="S38" s="86"/>
      <c r="T38" s="86"/>
      <c r="U38" s="86"/>
      <c r="V38" s="86"/>
      <c r="W38" s="86"/>
      <c r="X38" s="86"/>
      <c r="Y38" s="86"/>
      <c r="Z38" s="86"/>
      <c r="AA38" s="86"/>
      <c r="AB38" s="86"/>
      <c r="AC38" s="86"/>
    </row>
    <row r="39" spans="1:29">
      <c r="A39" s="4" t="s">
        <v>59</v>
      </c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P39" s="9" t="s">
        <v>16</v>
      </c>
      <c r="Q39" s="86"/>
      <c r="R39" s="86"/>
      <c r="S39" s="86"/>
      <c r="T39" s="86"/>
      <c r="U39" s="86"/>
      <c r="V39" s="86"/>
      <c r="W39" s="86"/>
      <c r="X39" s="86"/>
      <c r="Y39" s="86"/>
      <c r="Z39" s="86"/>
      <c r="AA39" s="86"/>
      <c r="AB39" s="86"/>
      <c r="AC39" s="86"/>
    </row>
    <row r="40" spans="1:29">
      <c r="A40" s="4" t="s">
        <v>60</v>
      </c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P40" s="9" t="s">
        <v>17</v>
      </c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</row>
    <row r="41" spans="1:29">
      <c r="A41" s="4" t="s">
        <v>61</v>
      </c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P41" s="9" t="s">
        <v>18</v>
      </c>
      <c r="Q41" s="86"/>
      <c r="R41" s="86"/>
      <c r="S41" s="86"/>
      <c r="T41" s="86"/>
      <c r="U41" s="86"/>
      <c r="V41" s="86"/>
      <c r="W41" s="86"/>
      <c r="X41" s="86"/>
      <c r="Y41" s="86"/>
      <c r="Z41" s="86"/>
      <c r="AA41" s="86"/>
      <c r="AB41" s="86"/>
      <c r="AC41" s="86"/>
    </row>
    <row r="42" spans="1:29">
      <c r="A42" s="4" t="s">
        <v>62</v>
      </c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P42" s="9" t="s">
        <v>19</v>
      </c>
      <c r="Q42" s="86"/>
      <c r="R42" s="86"/>
      <c r="S42" s="86"/>
      <c r="T42" s="86"/>
      <c r="U42" s="86"/>
      <c r="V42" s="86"/>
      <c r="W42" s="86"/>
      <c r="X42" s="86"/>
      <c r="Y42" s="86"/>
      <c r="Z42" s="86"/>
      <c r="AA42" s="86"/>
      <c r="AB42" s="86"/>
      <c r="AC42" s="86"/>
    </row>
    <row r="43" spans="1:29">
      <c r="A43" s="4" t="s">
        <v>63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P43" s="9" t="s">
        <v>20</v>
      </c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  <c r="AC43" s="86"/>
    </row>
    <row r="44" spans="1:29">
      <c r="A44" s="4" t="s">
        <v>64</v>
      </c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P44" s="9" t="s">
        <v>21</v>
      </c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  <c r="AC44" s="86"/>
    </row>
    <row r="45" spans="1:29">
      <c r="A45" s="4" t="s">
        <v>65</v>
      </c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P45" s="9" t="s">
        <v>22</v>
      </c>
      <c r="Q45" s="86"/>
      <c r="R45" s="86"/>
      <c r="S45" s="86"/>
      <c r="T45" s="86"/>
      <c r="U45" s="86"/>
      <c r="V45" s="86"/>
      <c r="W45" s="86"/>
      <c r="X45" s="86"/>
      <c r="Y45" s="86"/>
      <c r="Z45" s="86"/>
      <c r="AA45" s="86"/>
      <c r="AB45" s="86"/>
      <c r="AC45" s="86"/>
    </row>
    <row r="46" spans="1:29">
      <c r="A46" s="4" t="s">
        <v>66</v>
      </c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P46" s="9" t="s">
        <v>23</v>
      </c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</row>
    <row r="47" spans="1:29">
      <c r="A47" s="4" t="s">
        <v>67</v>
      </c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4"/>
    </row>
    <row r="48" spans="1:29" s="4" customFormat="1">
      <c r="A48" s="4" t="s">
        <v>375</v>
      </c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</row>
    <row r="49" spans="1:29" s="4" customFormat="1">
      <c r="A49" s="4" t="s">
        <v>376</v>
      </c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</row>
    <row r="50" spans="1:29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9">
      <c r="A51" s="106" t="s">
        <v>389</v>
      </c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4"/>
      <c r="P51" s="106" t="s">
        <v>508</v>
      </c>
      <c r="Q51" s="106"/>
      <c r="R51" s="106"/>
      <c r="S51" s="106"/>
      <c r="T51" s="106"/>
      <c r="U51" s="106"/>
      <c r="V51" s="106"/>
      <c r="W51" s="106"/>
      <c r="X51" s="106"/>
      <c r="Y51" s="106"/>
      <c r="Z51" s="106"/>
      <c r="AA51" s="106"/>
      <c r="AB51" s="106"/>
      <c r="AC51" s="106"/>
    </row>
    <row r="52" spans="1:29">
      <c r="A52" s="4"/>
      <c r="B52" s="57" t="s">
        <v>11</v>
      </c>
      <c r="C52" s="57" t="s">
        <v>373</v>
      </c>
      <c r="D52" s="57" t="s">
        <v>374</v>
      </c>
      <c r="E52" s="57" t="s">
        <v>14</v>
      </c>
      <c r="F52" s="57" t="s">
        <v>15</v>
      </c>
      <c r="G52" s="57" t="s">
        <v>16</v>
      </c>
      <c r="H52" s="57" t="s">
        <v>17</v>
      </c>
      <c r="I52" s="57" t="s">
        <v>18</v>
      </c>
      <c r="J52" s="57" t="s">
        <v>19</v>
      </c>
      <c r="K52" s="57" t="s">
        <v>20</v>
      </c>
      <c r="L52" s="57" t="s">
        <v>21</v>
      </c>
      <c r="M52" s="57" t="s">
        <v>22</v>
      </c>
      <c r="N52" s="57" t="s">
        <v>23</v>
      </c>
      <c r="O52" s="4"/>
      <c r="P52" s="4"/>
      <c r="Q52" s="9" t="s">
        <v>193</v>
      </c>
      <c r="R52" s="9" t="s">
        <v>194</v>
      </c>
      <c r="S52" s="9" t="s">
        <v>195</v>
      </c>
      <c r="T52" s="9" t="s">
        <v>378</v>
      </c>
      <c r="U52" s="9" t="s">
        <v>379</v>
      </c>
      <c r="V52" s="9" t="s">
        <v>380</v>
      </c>
      <c r="W52" s="9" t="s">
        <v>381</v>
      </c>
      <c r="X52" s="9" t="s">
        <v>382</v>
      </c>
      <c r="Y52" s="9" t="s">
        <v>383</v>
      </c>
      <c r="Z52" s="4" t="s">
        <v>384</v>
      </c>
      <c r="AA52" s="4" t="s">
        <v>385</v>
      </c>
      <c r="AB52" s="4" t="s">
        <v>386</v>
      </c>
      <c r="AC52" s="4" t="s">
        <v>387</v>
      </c>
    </row>
    <row r="53" spans="1:29">
      <c r="A53" s="57" t="s">
        <v>11</v>
      </c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4"/>
      <c r="P53" s="4" t="s">
        <v>48</v>
      </c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</row>
    <row r="54" spans="1:29">
      <c r="A54" s="57" t="s">
        <v>373</v>
      </c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4"/>
      <c r="P54" s="4" t="s">
        <v>49</v>
      </c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</row>
    <row r="55" spans="1:29">
      <c r="A55" s="57" t="s">
        <v>374</v>
      </c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4"/>
      <c r="P55" s="4" t="s">
        <v>50</v>
      </c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</row>
    <row r="56" spans="1:29">
      <c r="A56" s="57" t="s">
        <v>14</v>
      </c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4"/>
      <c r="P56" s="4" t="s">
        <v>51</v>
      </c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</row>
    <row r="57" spans="1:29">
      <c r="A57" s="57" t="s">
        <v>15</v>
      </c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4"/>
      <c r="P57" s="4" t="s">
        <v>52</v>
      </c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</row>
    <row r="58" spans="1:29">
      <c r="A58" s="57" t="s">
        <v>16</v>
      </c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4"/>
      <c r="P58" s="4" t="s">
        <v>53</v>
      </c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</row>
    <row r="59" spans="1:29">
      <c r="A59" s="57" t="s">
        <v>17</v>
      </c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4"/>
      <c r="P59" s="4" t="s">
        <v>54</v>
      </c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</row>
    <row r="60" spans="1:29">
      <c r="A60" s="57" t="s">
        <v>18</v>
      </c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4"/>
      <c r="P60" s="4" t="s">
        <v>55</v>
      </c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</row>
    <row r="61" spans="1:29">
      <c r="A61" s="57" t="s">
        <v>19</v>
      </c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4"/>
      <c r="P61" s="4" t="s">
        <v>56</v>
      </c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</row>
    <row r="62" spans="1:29">
      <c r="A62" s="57" t="s">
        <v>20</v>
      </c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4"/>
      <c r="P62" s="4" t="s">
        <v>57</v>
      </c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</row>
    <row r="63" spans="1:29">
      <c r="A63" s="57" t="s">
        <v>21</v>
      </c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4"/>
      <c r="P63" s="4" t="s">
        <v>58</v>
      </c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</row>
    <row r="64" spans="1:29">
      <c r="A64" s="57" t="s">
        <v>22</v>
      </c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4"/>
      <c r="P64" s="4" t="s">
        <v>59</v>
      </c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</row>
    <row r="65" spans="1:29">
      <c r="A65" s="57" t="s">
        <v>23</v>
      </c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4"/>
      <c r="P65" s="4" t="s">
        <v>60</v>
      </c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</row>
    <row r="66" spans="1:29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 t="s">
        <v>61</v>
      </c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</row>
    <row r="67" spans="1:29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 t="s">
        <v>62</v>
      </c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</row>
    <row r="68" spans="1:29">
      <c r="O68" s="4"/>
      <c r="P68" s="4" t="s">
        <v>63</v>
      </c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</row>
    <row r="69" spans="1:29">
      <c r="A69" s="57"/>
      <c r="B69" s="57"/>
      <c r="O69" s="4"/>
      <c r="P69" s="4" t="s">
        <v>64</v>
      </c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</row>
    <row r="70" spans="1:29">
      <c r="A70" s="57"/>
      <c r="O70" s="4"/>
      <c r="P70" s="4" t="s">
        <v>65</v>
      </c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</row>
    <row r="71" spans="1:29">
      <c r="A71" s="57"/>
      <c r="B71" s="57"/>
      <c r="C71" s="57"/>
      <c r="O71" s="4"/>
      <c r="P71" s="4" t="s">
        <v>66</v>
      </c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</row>
    <row r="72" spans="1:29">
      <c r="A72" s="57"/>
      <c r="B72" s="57"/>
      <c r="C72" s="57"/>
      <c r="D72" s="57"/>
      <c r="E72" s="57"/>
      <c r="O72" s="4"/>
      <c r="P72" s="4" t="s">
        <v>67</v>
      </c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</row>
    <row r="73" spans="1:29">
      <c r="A73" s="57"/>
      <c r="B73" s="57"/>
      <c r="C73" s="57"/>
      <c r="D73" s="57"/>
      <c r="E73" s="57"/>
      <c r="O73" s="4"/>
      <c r="P73" s="11" t="s">
        <v>388</v>
      </c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</row>
    <row r="74" spans="1:29">
      <c r="A74" s="57"/>
      <c r="B74" s="57"/>
      <c r="C74" s="57"/>
      <c r="D74" s="57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>
      <c r="A75" s="57"/>
      <c r="B75" s="57"/>
      <c r="C75" s="57"/>
      <c r="O75" s="4"/>
    </row>
    <row r="76" spans="1:29">
      <c r="A76" s="57"/>
      <c r="B76" s="57"/>
      <c r="C76" s="57"/>
      <c r="O76" s="4"/>
      <c r="P76" s="106" t="s">
        <v>390</v>
      </c>
      <c r="Q76" s="106"/>
      <c r="R76" s="106"/>
      <c r="S76" s="106"/>
      <c r="T76" s="106"/>
      <c r="U76" s="106"/>
      <c r="V76" s="106"/>
      <c r="W76" s="106"/>
      <c r="X76" s="106"/>
      <c r="Y76" s="106"/>
      <c r="Z76" s="106"/>
      <c r="AA76" s="106"/>
      <c r="AB76" s="106"/>
      <c r="AC76" s="106"/>
    </row>
    <row r="77" spans="1:29">
      <c r="A77" s="57"/>
      <c r="B77" s="57"/>
      <c r="C77" s="57"/>
      <c r="O77" s="4"/>
      <c r="P77" s="4"/>
      <c r="Q77" s="9" t="s">
        <v>193</v>
      </c>
      <c r="R77" s="9" t="s">
        <v>194</v>
      </c>
      <c r="S77" s="9" t="s">
        <v>195</v>
      </c>
      <c r="T77" s="9" t="s">
        <v>378</v>
      </c>
      <c r="U77" s="9" t="s">
        <v>379</v>
      </c>
      <c r="V77" s="9" t="s">
        <v>380</v>
      </c>
      <c r="W77" s="9" t="s">
        <v>381</v>
      </c>
      <c r="X77" s="9" t="s">
        <v>382</v>
      </c>
      <c r="Y77" s="9" t="s">
        <v>383</v>
      </c>
      <c r="Z77" s="4" t="s">
        <v>384</v>
      </c>
      <c r="AA77" s="4" t="s">
        <v>385</v>
      </c>
      <c r="AB77" s="4" t="s">
        <v>386</v>
      </c>
      <c r="AC77" s="4" t="s">
        <v>387</v>
      </c>
    </row>
    <row r="78" spans="1:29">
      <c r="A78" s="57"/>
      <c r="B78" s="57"/>
      <c r="O78" s="4"/>
      <c r="P78" s="57" t="s">
        <v>11</v>
      </c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</row>
    <row r="79" spans="1:29">
      <c r="A79" s="57"/>
      <c r="B79" s="57"/>
      <c r="O79" s="4"/>
      <c r="P79" s="57" t="s">
        <v>373</v>
      </c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</row>
    <row r="80" spans="1:29">
      <c r="A80" s="57"/>
      <c r="B80" s="57"/>
      <c r="O80" s="4"/>
      <c r="P80" s="57" t="s">
        <v>374</v>
      </c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</row>
    <row r="81" spans="1:34">
      <c r="A81" s="57"/>
      <c r="O81" s="4"/>
      <c r="P81" s="57" t="s">
        <v>14</v>
      </c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</row>
    <row r="82" spans="1:34">
      <c r="O82" s="4"/>
      <c r="P82" s="57" t="s">
        <v>15</v>
      </c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</row>
    <row r="83" spans="1:34">
      <c r="P83" s="57" t="s">
        <v>16</v>
      </c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</row>
    <row r="84" spans="1:34">
      <c r="P84" s="57" t="s">
        <v>17</v>
      </c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</row>
    <row r="85" spans="1:34">
      <c r="P85" s="57" t="s">
        <v>18</v>
      </c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</row>
    <row r="86" spans="1:34">
      <c r="P86" s="57" t="s">
        <v>19</v>
      </c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</row>
    <row r="87" spans="1:34">
      <c r="P87" s="57" t="s">
        <v>20</v>
      </c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</row>
    <row r="88" spans="1:34">
      <c r="P88" s="57" t="s">
        <v>21</v>
      </c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</row>
    <row r="89" spans="1:34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P89" s="57" t="s">
        <v>22</v>
      </c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</row>
    <row r="90" spans="1:34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P90" s="57" t="s">
        <v>23</v>
      </c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</row>
    <row r="91" spans="1:34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Q91" s="4"/>
      <c r="R91" s="4"/>
      <c r="S91" s="4"/>
    </row>
    <row r="92" spans="1:34">
      <c r="Q92" s="4"/>
      <c r="R92" s="4"/>
      <c r="S92" s="4"/>
    </row>
    <row r="93" spans="1:34">
      <c r="A93" s="106" t="s">
        <v>201</v>
      </c>
      <c r="B93" s="106"/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</row>
    <row r="94" spans="1:34">
      <c r="A94" s="4" t="s">
        <v>2</v>
      </c>
      <c r="B94" s="57" t="s">
        <v>11</v>
      </c>
      <c r="C94" s="57" t="s">
        <v>373</v>
      </c>
      <c r="D94" s="57" t="s">
        <v>374</v>
      </c>
      <c r="E94" s="57" t="s">
        <v>14</v>
      </c>
      <c r="F94" s="57" t="s">
        <v>15</v>
      </c>
      <c r="G94" s="57" t="s">
        <v>16</v>
      </c>
      <c r="H94" s="57" t="s">
        <v>17</v>
      </c>
      <c r="I94" s="57" t="s">
        <v>18</v>
      </c>
      <c r="J94" s="57" t="s">
        <v>19</v>
      </c>
      <c r="K94" s="57" t="s">
        <v>20</v>
      </c>
      <c r="L94" s="57" t="s">
        <v>21</v>
      </c>
      <c r="M94" s="57" t="s">
        <v>22</v>
      </c>
      <c r="N94" s="57" t="s">
        <v>23</v>
      </c>
    </row>
    <row r="95" spans="1:34">
      <c r="A95" s="4" t="s">
        <v>48</v>
      </c>
      <c r="B95" s="4">
        <f>B28</f>
        <v>0</v>
      </c>
      <c r="C95" s="4">
        <f t="shared" ref="C95:N95" si="2">C28</f>
        <v>0</v>
      </c>
      <c r="D95" s="4">
        <f t="shared" si="2"/>
        <v>0</v>
      </c>
      <c r="E95" s="4">
        <f t="shared" si="2"/>
        <v>0</v>
      </c>
      <c r="F95" s="4">
        <f t="shared" si="2"/>
        <v>0</v>
      </c>
      <c r="G95" s="4">
        <f t="shared" si="2"/>
        <v>0</v>
      </c>
      <c r="H95" s="4">
        <f t="shared" si="2"/>
        <v>0</v>
      </c>
      <c r="I95" s="4">
        <f t="shared" si="2"/>
        <v>0</v>
      </c>
      <c r="J95" s="4">
        <f t="shared" si="2"/>
        <v>0</v>
      </c>
      <c r="K95" s="4">
        <f t="shared" si="2"/>
        <v>0</v>
      </c>
      <c r="L95" s="4">
        <f t="shared" si="2"/>
        <v>0</v>
      </c>
      <c r="M95" s="4">
        <f t="shared" si="2"/>
        <v>0</v>
      </c>
      <c r="N95" s="4">
        <f t="shared" si="2"/>
        <v>0</v>
      </c>
    </row>
    <row r="96" spans="1:34">
      <c r="A96" s="4" t="s">
        <v>49</v>
      </c>
      <c r="B96" s="4">
        <f t="shared" ref="B96:N96" si="3">B29</f>
        <v>0</v>
      </c>
      <c r="C96" s="4">
        <f t="shared" si="3"/>
        <v>0</v>
      </c>
      <c r="D96" s="4">
        <f t="shared" si="3"/>
        <v>0</v>
      </c>
      <c r="E96" s="4">
        <f t="shared" si="3"/>
        <v>0</v>
      </c>
      <c r="F96" s="4">
        <f t="shared" si="3"/>
        <v>0</v>
      </c>
      <c r="G96" s="4">
        <f t="shared" si="3"/>
        <v>0</v>
      </c>
      <c r="H96" s="4">
        <f t="shared" si="3"/>
        <v>0</v>
      </c>
      <c r="I96" s="4">
        <f t="shared" si="3"/>
        <v>0</v>
      </c>
      <c r="J96" s="4">
        <f t="shared" si="3"/>
        <v>0</v>
      </c>
      <c r="K96" s="4">
        <f t="shared" si="3"/>
        <v>0</v>
      </c>
      <c r="L96" s="4">
        <f t="shared" si="3"/>
        <v>0</v>
      </c>
      <c r="M96" s="4">
        <f t="shared" si="3"/>
        <v>0</v>
      </c>
      <c r="N96" s="4">
        <f t="shared" si="3"/>
        <v>0</v>
      </c>
      <c r="AB96" s="9"/>
      <c r="AC96" s="57"/>
      <c r="AD96" s="57"/>
      <c r="AE96" s="57"/>
      <c r="AF96" s="57"/>
      <c r="AG96" s="57"/>
      <c r="AH96" s="57"/>
    </row>
    <row r="97" spans="1:33">
      <c r="A97" s="4" t="s">
        <v>50</v>
      </c>
      <c r="B97" s="4">
        <f t="shared" ref="B97:N97" si="4">B30</f>
        <v>0</v>
      </c>
      <c r="C97" s="4">
        <f t="shared" si="4"/>
        <v>0</v>
      </c>
      <c r="D97" s="4">
        <f t="shared" si="4"/>
        <v>0</v>
      </c>
      <c r="E97" s="4">
        <f t="shared" si="4"/>
        <v>0</v>
      </c>
      <c r="F97" s="4">
        <f t="shared" si="4"/>
        <v>0</v>
      </c>
      <c r="G97" s="4">
        <f t="shared" si="4"/>
        <v>0</v>
      </c>
      <c r="H97" s="4">
        <f t="shared" si="4"/>
        <v>0</v>
      </c>
      <c r="I97" s="4">
        <f t="shared" si="4"/>
        <v>0</v>
      </c>
      <c r="J97" s="4">
        <f t="shared" si="4"/>
        <v>0</v>
      </c>
      <c r="K97" s="4">
        <f t="shared" si="4"/>
        <v>0</v>
      </c>
      <c r="L97" s="4">
        <f t="shared" si="4"/>
        <v>0</v>
      </c>
      <c r="M97" s="4">
        <f t="shared" si="4"/>
        <v>0</v>
      </c>
      <c r="N97" s="4">
        <f t="shared" si="4"/>
        <v>0</v>
      </c>
      <c r="AB97" s="9"/>
      <c r="AC97" s="57"/>
      <c r="AD97" s="57"/>
      <c r="AE97" s="57"/>
      <c r="AF97" s="57"/>
      <c r="AG97" s="57"/>
    </row>
    <row r="98" spans="1:33">
      <c r="A98" s="4" t="s">
        <v>51</v>
      </c>
      <c r="B98" s="4">
        <f t="shared" ref="B98:N98" si="5">B31</f>
        <v>0</v>
      </c>
      <c r="C98" s="4">
        <f t="shared" si="5"/>
        <v>0</v>
      </c>
      <c r="D98" s="4">
        <f t="shared" si="5"/>
        <v>0</v>
      </c>
      <c r="E98" s="4">
        <f t="shared" si="5"/>
        <v>0</v>
      </c>
      <c r="F98" s="4">
        <f t="shared" si="5"/>
        <v>0</v>
      </c>
      <c r="G98" s="4">
        <f t="shared" si="5"/>
        <v>0</v>
      </c>
      <c r="H98" s="4">
        <f t="shared" si="5"/>
        <v>0</v>
      </c>
      <c r="I98" s="4">
        <f t="shared" si="5"/>
        <v>0</v>
      </c>
      <c r="J98" s="4">
        <f t="shared" si="5"/>
        <v>0</v>
      </c>
      <c r="K98" s="4">
        <f t="shared" si="5"/>
        <v>0</v>
      </c>
      <c r="L98" s="4">
        <f t="shared" si="5"/>
        <v>0</v>
      </c>
      <c r="M98" s="4">
        <f t="shared" si="5"/>
        <v>0</v>
      </c>
      <c r="N98" s="4">
        <f t="shared" si="5"/>
        <v>0</v>
      </c>
      <c r="AB98" s="9"/>
      <c r="AC98" s="57"/>
      <c r="AD98" s="57"/>
      <c r="AE98" s="57"/>
    </row>
    <row r="99" spans="1:33">
      <c r="A99" s="4" t="s">
        <v>52</v>
      </c>
      <c r="B99" s="4">
        <f t="shared" ref="B99:N99" si="6">B32</f>
        <v>0</v>
      </c>
      <c r="C99" s="4">
        <f t="shared" si="6"/>
        <v>0</v>
      </c>
      <c r="D99" s="4">
        <f t="shared" si="6"/>
        <v>0</v>
      </c>
      <c r="E99" s="4">
        <f t="shared" si="6"/>
        <v>0</v>
      </c>
      <c r="F99" s="4">
        <f t="shared" si="6"/>
        <v>0</v>
      </c>
      <c r="G99" s="4">
        <f t="shared" si="6"/>
        <v>0</v>
      </c>
      <c r="H99" s="4">
        <f t="shared" si="6"/>
        <v>0</v>
      </c>
      <c r="I99" s="4">
        <f t="shared" si="6"/>
        <v>0</v>
      </c>
      <c r="J99" s="4">
        <f t="shared" si="6"/>
        <v>0</v>
      </c>
      <c r="K99" s="4">
        <f t="shared" si="6"/>
        <v>0</v>
      </c>
      <c r="L99" s="4">
        <f t="shared" si="6"/>
        <v>0</v>
      </c>
      <c r="M99" s="4">
        <f t="shared" si="6"/>
        <v>0</v>
      </c>
      <c r="N99" s="4">
        <f t="shared" si="6"/>
        <v>0</v>
      </c>
      <c r="AB99" s="9"/>
      <c r="AC99" s="57"/>
      <c r="AD99" s="57"/>
    </row>
    <row r="100" spans="1:33">
      <c r="A100" s="4" t="s">
        <v>53</v>
      </c>
      <c r="B100" s="4">
        <f t="shared" ref="B100:N100" si="7">B33</f>
        <v>0</v>
      </c>
      <c r="C100" s="4">
        <f t="shared" si="7"/>
        <v>0</v>
      </c>
      <c r="D100" s="4">
        <f t="shared" si="7"/>
        <v>0</v>
      </c>
      <c r="E100" s="4">
        <f t="shared" si="7"/>
        <v>0</v>
      </c>
      <c r="F100" s="4">
        <f t="shared" si="7"/>
        <v>0</v>
      </c>
      <c r="G100" s="4">
        <f t="shared" si="7"/>
        <v>0</v>
      </c>
      <c r="H100" s="4">
        <f t="shared" si="7"/>
        <v>0</v>
      </c>
      <c r="I100" s="4">
        <f t="shared" si="7"/>
        <v>0</v>
      </c>
      <c r="J100" s="4">
        <f t="shared" si="7"/>
        <v>0</v>
      </c>
      <c r="K100" s="4">
        <f t="shared" si="7"/>
        <v>0</v>
      </c>
      <c r="L100" s="4">
        <f t="shared" si="7"/>
        <v>0</v>
      </c>
      <c r="M100" s="4">
        <f t="shared" si="7"/>
        <v>0</v>
      </c>
      <c r="N100" s="4">
        <f t="shared" si="7"/>
        <v>0</v>
      </c>
      <c r="AB100" s="9"/>
      <c r="AC100" s="57"/>
    </row>
    <row r="101" spans="1:33">
      <c r="A101" s="4" t="s">
        <v>54</v>
      </c>
      <c r="B101" s="4">
        <f t="shared" ref="B101:N101" si="8">B34</f>
        <v>0</v>
      </c>
      <c r="C101" s="4">
        <f t="shared" si="8"/>
        <v>0</v>
      </c>
      <c r="D101" s="4">
        <f t="shared" si="8"/>
        <v>0</v>
      </c>
      <c r="E101" s="4">
        <f t="shared" si="8"/>
        <v>0</v>
      </c>
      <c r="F101" s="4">
        <f t="shared" si="8"/>
        <v>0</v>
      </c>
      <c r="G101" s="4">
        <f t="shared" si="8"/>
        <v>0</v>
      </c>
      <c r="H101" s="4">
        <f t="shared" si="8"/>
        <v>0</v>
      </c>
      <c r="I101" s="4">
        <f t="shared" si="8"/>
        <v>0</v>
      </c>
      <c r="J101" s="4">
        <f t="shared" si="8"/>
        <v>0</v>
      </c>
      <c r="K101" s="4">
        <f t="shared" si="8"/>
        <v>0</v>
      </c>
      <c r="L101" s="4">
        <f t="shared" si="8"/>
        <v>0</v>
      </c>
      <c r="M101" s="4">
        <f t="shared" si="8"/>
        <v>0</v>
      </c>
      <c r="N101" s="4">
        <f t="shared" si="8"/>
        <v>0</v>
      </c>
    </row>
    <row r="102" spans="1:33">
      <c r="A102" s="4" t="s">
        <v>55</v>
      </c>
      <c r="B102" s="4">
        <f t="shared" ref="B102:N102" si="9">B35</f>
        <v>0</v>
      </c>
      <c r="C102" s="4">
        <f t="shared" si="9"/>
        <v>0</v>
      </c>
      <c r="D102" s="4">
        <f t="shared" si="9"/>
        <v>0</v>
      </c>
      <c r="E102" s="4">
        <f t="shared" si="9"/>
        <v>0</v>
      </c>
      <c r="F102" s="4">
        <f t="shared" si="9"/>
        <v>0</v>
      </c>
      <c r="G102" s="4">
        <f t="shared" si="9"/>
        <v>0</v>
      </c>
      <c r="H102" s="4">
        <f t="shared" si="9"/>
        <v>0</v>
      </c>
      <c r="I102" s="4">
        <f t="shared" si="9"/>
        <v>0</v>
      </c>
      <c r="J102" s="4">
        <f t="shared" si="9"/>
        <v>0</v>
      </c>
      <c r="K102" s="4">
        <f t="shared" si="9"/>
        <v>0</v>
      </c>
      <c r="L102" s="4">
        <f t="shared" si="9"/>
        <v>0</v>
      </c>
      <c r="M102" s="4">
        <f t="shared" si="9"/>
        <v>0</v>
      </c>
      <c r="N102" s="4">
        <f t="shared" si="9"/>
        <v>0</v>
      </c>
    </row>
    <row r="103" spans="1:33">
      <c r="A103" s="4" t="s">
        <v>56</v>
      </c>
      <c r="B103" s="4">
        <f t="shared" ref="B103:N103" si="10">B36</f>
        <v>0</v>
      </c>
      <c r="C103" s="4">
        <f t="shared" si="10"/>
        <v>0</v>
      </c>
      <c r="D103" s="4">
        <f t="shared" si="10"/>
        <v>0</v>
      </c>
      <c r="E103" s="4">
        <f t="shared" si="10"/>
        <v>0</v>
      </c>
      <c r="F103" s="4">
        <f t="shared" si="10"/>
        <v>0</v>
      </c>
      <c r="G103" s="4">
        <f t="shared" si="10"/>
        <v>0</v>
      </c>
      <c r="H103" s="4">
        <f t="shared" si="10"/>
        <v>0</v>
      </c>
      <c r="I103" s="4">
        <f t="shared" si="10"/>
        <v>0</v>
      </c>
      <c r="J103" s="4">
        <f t="shared" si="10"/>
        <v>0</v>
      </c>
      <c r="K103" s="4">
        <f t="shared" si="10"/>
        <v>0</v>
      </c>
      <c r="L103" s="4">
        <f t="shared" si="10"/>
        <v>0</v>
      </c>
      <c r="M103" s="4">
        <f t="shared" si="10"/>
        <v>0</v>
      </c>
      <c r="N103" s="4">
        <f t="shared" si="10"/>
        <v>0</v>
      </c>
    </row>
    <row r="104" spans="1:33">
      <c r="A104" s="4" t="s">
        <v>57</v>
      </c>
      <c r="B104" s="4">
        <f t="shared" ref="B104:N104" si="11">B37</f>
        <v>0</v>
      </c>
      <c r="C104" s="4">
        <f t="shared" si="11"/>
        <v>0</v>
      </c>
      <c r="D104" s="4">
        <f t="shared" si="11"/>
        <v>0</v>
      </c>
      <c r="E104" s="4">
        <f t="shared" si="11"/>
        <v>0</v>
      </c>
      <c r="F104" s="4">
        <f t="shared" si="11"/>
        <v>0</v>
      </c>
      <c r="G104" s="4">
        <f t="shared" si="11"/>
        <v>0</v>
      </c>
      <c r="H104" s="4">
        <f t="shared" si="11"/>
        <v>0</v>
      </c>
      <c r="I104" s="4">
        <f t="shared" si="11"/>
        <v>0</v>
      </c>
      <c r="J104" s="4">
        <f t="shared" si="11"/>
        <v>0</v>
      </c>
      <c r="K104" s="4">
        <f t="shared" si="11"/>
        <v>0</v>
      </c>
      <c r="L104" s="4">
        <f t="shared" si="11"/>
        <v>0</v>
      </c>
      <c r="M104" s="4">
        <f t="shared" si="11"/>
        <v>0</v>
      </c>
      <c r="N104" s="4">
        <f t="shared" si="11"/>
        <v>0</v>
      </c>
    </row>
    <row r="105" spans="1:33">
      <c r="A105" s="4" t="s">
        <v>58</v>
      </c>
      <c r="B105" s="4">
        <f t="shared" ref="B105:N105" si="12">B38</f>
        <v>0</v>
      </c>
      <c r="C105" s="4">
        <f t="shared" si="12"/>
        <v>0</v>
      </c>
      <c r="D105" s="4">
        <f t="shared" si="12"/>
        <v>0</v>
      </c>
      <c r="E105" s="4">
        <f t="shared" si="12"/>
        <v>0</v>
      </c>
      <c r="F105" s="4">
        <f t="shared" si="12"/>
        <v>0</v>
      </c>
      <c r="G105" s="4">
        <f t="shared" si="12"/>
        <v>0</v>
      </c>
      <c r="H105" s="4">
        <f t="shared" si="12"/>
        <v>0</v>
      </c>
      <c r="I105" s="4">
        <f t="shared" si="12"/>
        <v>0</v>
      </c>
      <c r="J105" s="4">
        <f t="shared" si="12"/>
        <v>0</v>
      </c>
      <c r="K105" s="4">
        <f t="shared" si="12"/>
        <v>0</v>
      </c>
      <c r="L105" s="4">
        <f t="shared" si="12"/>
        <v>0</v>
      </c>
      <c r="M105" s="4">
        <f t="shared" si="12"/>
        <v>0</v>
      </c>
      <c r="N105" s="4">
        <f t="shared" si="12"/>
        <v>0</v>
      </c>
    </row>
    <row r="106" spans="1:33">
      <c r="A106" s="4" t="s">
        <v>59</v>
      </c>
      <c r="B106" s="4">
        <f t="shared" ref="B106:N106" si="13">B39</f>
        <v>0</v>
      </c>
      <c r="C106" s="4">
        <f t="shared" si="13"/>
        <v>0</v>
      </c>
      <c r="D106" s="4">
        <f t="shared" si="13"/>
        <v>0</v>
      </c>
      <c r="E106" s="4">
        <f t="shared" si="13"/>
        <v>0</v>
      </c>
      <c r="F106" s="4">
        <f t="shared" si="13"/>
        <v>0</v>
      </c>
      <c r="G106" s="4">
        <f t="shared" si="13"/>
        <v>0</v>
      </c>
      <c r="H106" s="4">
        <f t="shared" si="13"/>
        <v>0</v>
      </c>
      <c r="I106" s="4">
        <f t="shared" si="13"/>
        <v>0</v>
      </c>
      <c r="J106" s="4">
        <f t="shared" si="13"/>
        <v>0</v>
      </c>
      <c r="K106" s="4">
        <f t="shared" si="13"/>
        <v>0</v>
      </c>
      <c r="L106" s="4">
        <f t="shared" si="13"/>
        <v>0</v>
      </c>
      <c r="M106" s="4">
        <f t="shared" si="13"/>
        <v>0</v>
      </c>
      <c r="N106" s="4">
        <f t="shared" si="13"/>
        <v>0</v>
      </c>
    </row>
    <row r="107" spans="1:33">
      <c r="A107" s="4" t="s">
        <v>60</v>
      </c>
      <c r="B107" s="4">
        <f t="shared" ref="B107:N107" si="14">B40</f>
        <v>0</v>
      </c>
      <c r="C107" s="4">
        <f t="shared" si="14"/>
        <v>0</v>
      </c>
      <c r="D107" s="4">
        <f t="shared" si="14"/>
        <v>0</v>
      </c>
      <c r="E107" s="4">
        <f t="shared" si="14"/>
        <v>0</v>
      </c>
      <c r="F107" s="4">
        <f t="shared" si="14"/>
        <v>0</v>
      </c>
      <c r="G107" s="4">
        <f t="shared" si="14"/>
        <v>0</v>
      </c>
      <c r="H107" s="4">
        <f t="shared" si="14"/>
        <v>0</v>
      </c>
      <c r="I107" s="4">
        <f t="shared" si="14"/>
        <v>0</v>
      </c>
      <c r="J107" s="4">
        <f t="shared" si="14"/>
        <v>0</v>
      </c>
      <c r="K107" s="4">
        <f t="shared" si="14"/>
        <v>0</v>
      </c>
      <c r="L107" s="4">
        <f t="shared" si="14"/>
        <v>0</v>
      </c>
      <c r="M107" s="4">
        <f t="shared" si="14"/>
        <v>0</v>
      </c>
      <c r="N107" s="4">
        <f t="shared" si="14"/>
        <v>0</v>
      </c>
    </row>
    <row r="108" spans="1:33">
      <c r="A108" s="4" t="s">
        <v>61</v>
      </c>
      <c r="B108" s="4">
        <f t="shared" ref="B108:N108" si="15">B41</f>
        <v>0</v>
      </c>
      <c r="C108" s="4">
        <f t="shared" si="15"/>
        <v>0</v>
      </c>
      <c r="D108" s="4">
        <f t="shared" si="15"/>
        <v>0</v>
      </c>
      <c r="E108" s="4">
        <f t="shared" si="15"/>
        <v>0</v>
      </c>
      <c r="F108" s="4">
        <f t="shared" si="15"/>
        <v>0</v>
      </c>
      <c r="G108" s="4">
        <f t="shared" si="15"/>
        <v>0</v>
      </c>
      <c r="H108" s="4">
        <f t="shared" si="15"/>
        <v>0</v>
      </c>
      <c r="I108" s="4">
        <f t="shared" si="15"/>
        <v>0</v>
      </c>
      <c r="J108" s="4">
        <f t="shared" si="15"/>
        <v>0</v>
      </c>
      <c r="K108" s="4">
        <f t="shared" si="15"/>
        <v>0</v>
      </c>
      <c r="L108" s="4">
        <f t="shared" si="15"/>
        <v>0</v>
      </c>
      <c r="M108" s="4">
        <f t="shared" si="15"/>
        <v>0</v>
      </c>
      <c r="N108" s="4">
        <f t="shared" si="15"/>
        <v>0</v>
      </c>
    </row>
    <row r="109" spans="1:33">
      <c r="A109" s="4" t="s">
        <v>62</v>
      </c>
      <c r="B109" s="4">
        <f t="shared" ref="B109:N109" si="16">B42</f>
        <v>0</v>
      </c>
      <c r="C109" s="4">
        <f t="shared" si="16"/>
        <v>0</v>
      </c>
      <c r="D109" s="4">
        <f t="shared" si="16"/>
        <v>0</v>
      </c>
      <c r="E109" s="4">
        <f t="shared" si="16"/>
        <v>0</v>
      </c>
      <c r="F109" s="4">
        <f t="shared" si="16"/>
        <v>0</v>
      </c>
      <c r="G109" s="4">
        <f t="shared" si="16"/>
        <v>0</v>
      </c>
      <c r="H109" s="4">
        <f t="shared" si="16"/>
        <v>0</v>
      </c>
      <c r="I109" s="4">
        <f t="shared" si="16"/>
        <v>0</v>
      </c>
      <c r="J109" s="4">
        <f t="shared" si="16"/>
        <v>0</v>
      </c>
      <c r="K109" s="4">
        <f t="shared" si="16"/>
        <v>0</v>
      </c>
      <c r="L109" s="4">
        <f t="shared" si="16"/>
        <v>0</v>
      </c>
      <c r="M109" s="4">
        <f t="shared" si="16"/>
        <v>0</v>
      </c>
      <c r="N109" s="4">
        <f t="shared" si="16"/>
        <v>0</v>
      </c>
    </row>
    <row r="110" spans="1:33">
      <c r="A110" s="4" t="s">
        <v>63</v>
      </c>
      <c r="B110" s="4">
        <f t="shared" ref="B110:N110" si="17">B43</f>
        <v>0</v>
      </c>
      <c r="C110" s="4">
        <f t="shared" si="17"/>
        <v>0</v>
      </c>
      <c r="D110" s="4">
        <f t="shared" si="17"/>
        <v>0</v>
      </c>
      <c r="E110" s="4">
        <f t="shared" si="17"/>
        <v>0</v>
      </c>
      <c r="F110" s="4">
        <f t="shared" si="17"/>
        <v>0</v>
      </c>
      <c r="G110" s="4">
        <f t="shared" si="17"/>
        <v>0</v>
      </c>
      <c r="H110" s="4">
        <f t="shared" si="17"/>
        <v>0</v>
      </c>
      <c r="I110" s="4">
        <f t="shared" si="17"/>
        <v>0</v>
      </c>
      <c r="J110" s="4">
        <f t="shared" si="17"/>
        <v>0</v>
      </c>
      <c r="K110" s="4">
        <f t="shared" si="17"/>
        <v>0</v>
      </c>
      <c r="L110" s="4">
        <f t="shared" si="17"/>
        <v>0</v>
      </c>
      <c r="M110" s="4">
        <f t="shared" si="17"/>
        <v>0</v>
      </c>
      <c r="N110" s="4">
        <f t="shared" si="17"/>
        <v>0</v>
      </c>
    </row>
    <row r="111" spans="1:33">
      <c r="A111" s="4" t="s">
        <v>64</v>
      </c>
      <c r="B111" s="4">
        <f t="shared" ref="B111:N111" si="18">B44</f>
        <v>0</v>
      </c>
      <c r="C111" s="4">
        <f t="shared" si="18"/>
        <v>0</v>
      </c>
      <c r="D111" s="4">
        <f t="shared" si="18"/>
        <v>0</v>
      </c>
      <c r="E111" s="4">
        <f t="shared" si="18"/>
        <v>0</v>
      </c>
      <c r="F111" s="4">
        <f t="shared" si="18"/>
        <v>0</v>
      </c>
      <c r="G111" s="4">
        <f t="shared" si="18"/>
        <v>0</v>
      </c>
      <c r="H111" s="4">
        <f t="shared" si="18"/>
        <v>0</v>
      </c>
      <c r="I111" s="4">
        <f t="shared" si="18"/>
        <v>0</v>
      </c>
      <c r="J111" s="4">
        <f t="shared" si="18"/>
        <v>0</v>
      </c>
      <c r="K111" s="4">
        <f t="shared" si="18"/>
        <v>0</v>
      </c>
      <c r="L111" s="4">
        <f t="shared" si="18"/>
        <v>0</v>
      </c>
      <c r="M111" s="4">
        <f t="shared" si="18"/>
        <v>0</v>
      </c>
      <c r="N111" s="4">
        <f t="shared" si="18"/>
        <v>0</v>
      </c>
    </row>
    <row r="112" spans="1:33">
      <c r="A112" s="4" t="s">
        <v>65</v>
      </c>
      <c r="B112" s="4">
        <f t="shared" ref="B112:N112" si="19">B45</f>
        <v>0</v>
      </c>
      <c r="C112" s="4">
        <f t="shared" si="19"/>
        <v>0</v>
      </c>
      <c r="D112" s="4">
        <f t="shared" si="19"/>
        <v>0</v>
      </c>
      <c r="E112" s="4">
        <f t="shared" si="19"/>
        <v>0</v>
      </c>
      <c r="F112" s="4">
        <f t="shared" si="19"/>
        <v>0</v>
      </c>
      <c r="G112" s="4">
        <f t="shared" si="19"/>
        <v>0</v>
      </c>
      <c r="H112" s="4">
        <f t="shared" si="19"/>
        <v>0</v>
      </c>
      <c r="I112" s="4">
        <f t="shared" si="19"/>
        <v>0</v>
      </c>
      <c r="J112" s="4">
        <f t="shared" si="19"/>
        <v>0</v>
      </c>
      <c r="K112" s="4">
        <f t="shared" si="19"/>
        <v>0</v>
      </c>
      <c r="L112" s="4">
        <f t="shared" si="19"/>
        <v>0</v>
      </c>
      <c r="M112" s="4">
        <f t="shared" si="19"/>
        <v>0</v>
      </c>
      <c r="N112" s="4">
        <f t="shared" si="19"/>
        <v>0</v>
      </c>
    </row>
    <row r="113" spans="1:30">
      <c r="A113" s="4" t="s">
        <v>66</v>
      </c>
      <c r="B113" s="4">
        <f t="shared" ref="B113:N113" si="20">B46</f>
        <v>0</v>
      </c>
      <c r="C113" s="4">
        <f t="shared" si="20"/>
        <v>0</v>
      </c>
      <c r="D113" s="4">
        <f t="shared" si="20"/>
        <v>0</v>
      </c>
      <c r="E113" s="4">
        <f t="shared" si="20"/>
        <v>0</v>
      </c>
      <c r="F113" s="4">
        <f t="shared" si="20"/>
        <v>0</v>
      </c>
      <c r="G113" s="4">
        <f t="shared" si="20"/>
        <v>0</v>
      </c>
      <c r="H113" s="4">
        <f t="shared" si="20"/>
        <v>0</v>
      </c>
      <c r="I113" s="4">
        <f t="shared" si="20"/>
        <v>0</v>
      </c>
      <c r="J113" s="4">
        <f t="shared" si="20"/>
        <v>0</v>
      </c>
      <c r="K113" s="4">
        <f t="shared" si="20"/>
        <v>0</v>
      </c>
      <c r="L113" s="4">
        <f t="shared" si="20"/>
        <v>0</v>
      </c>
      <c r="M113" s="4">
        <f t="shared" si="20"/>
        <v>0</v>
      </c>
      <c r="N113" s="4">
        <f t="shared" si="20"/>
        <v>0</v>
      </c>
    </row>
    <row r="114" spans="1:30">
      <c r="A114" s="4" t="s">
        <v>67</v>
      </c>
      <c r="B114" s="4">
        <f t="shared" ref="B114:N114" si="21">B47</f>
        <v>0</v>
      </c>
      <c r="C114" s="4">
        <f t="shared" si="21"/>
        <v>0</v>
      </c>
      <c r="D114" s="4">
        <f t="shared" si="21"/>
        <v>0</v>
      </c>
      <c r="E114" s="4">
        <f t="shared" si="21"/>
        <v>0</v>
      </c>
      <c r="F114" s="4">
        <f t="shared" si="21"/>
        <v>0</v>
      </c>
      <c r="G114" s="4">
        <f t="shared" si="21"/>
        <v>0</v>
      </c>
      <c r="H114" s="4">
        <f t="shared" si="21"/>
        <v>0</v>
      </c>
      <c r="I114" s="4">
        <f t="shared" si="21"/>
        <v>0</v>
      </c>
      <c r="J114" s="4">
        <f t="shared" si="21"/>
        <v>0</v>
      </c>
      <c r="K114" s="4">
        <f t="shared" si="21"/>
        <v>0</v>
      </c>
      <c r="L114" s="4">
        <f t="shared" si="21"/>
        <v>0</v>
      </c>
      <c r="M114" s="4">
        <f t="shared" si="21"/>
        <v>0</v>
      </c>
      <c r="N114" s="4">
        <f t="shared" si="21"/>
        <v>0</v>
      </c>
      <c r="O114" s="4"/>
    </row>
    <row r="115" spans="1:30" s="4" customFormat="1"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</row>
    <row r="116" spans="1:30">
      <c r="A116" s="106" t="s">
        <v>462</v>
      </c>
      <c r="B116" s="106"/>
      <c r="C116" s="106"/>
      <c r="D116" s="106"/>
      <c r="E116" s="106"/>
      <c r="F116" s="106"/>
      <c r="G116" s="106"/>
      <c r="H116" s="106"/>
      <c r="I116" s="106"/>
      <c r="J116" s="106"/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</row>
    <row r="117" spans="1:30">
      <c r="A117" s="11" t="s">
        <v>461</v>
      </c>
      <c r="B117" s="11" t="s">
        <v>48</v>
      </c>
      <c r="C117" s="11" t="s">
        <v>49</v>
      </c>
      <c r="D117" s="11" t="s">
        <v>50</v>
      </c>
      <c r="E117" s="11" t="s">
        <v>51</v>
      </c>
      <c r="F117" s="11" t="s">
        <v>52</v>
      </c>
      <c r="G117" s="11" t="s">
        <v>53</v>
      </c>
      <c r="H117" s="11" t="s">
        <v>54</v>
      </c>
      <c r="I117" s="11" t="s">
        <v>55</v>
      </c>
      <c r="J117" s="11" t="s">
        <v>56</v>
      </c>
      <c r="K117" s="11" t="s">
        <v>57</v>
      </c>
      <c r="L117" s="11" t="s">
        <v>58</v>
      </c>
      <c r="M117" s="11" t="s">
        <v>59</v>
      </c>
      <c r="N117" s="11" t="s">
        <v>60</v>
      </c>
      <c r="O117" s="11" t="s">
        <v>61</v>
      </c>
      <c r="P117" s="11" t="s">
        <v>62</v>
      </c>
      <c r="Q117" s="11" t="s">
        <v>63</v>
      </c>
      <c r="R117" s="11" t="s">
        <v>64</v>
      </c>
      <c r="S117" s="11" t="s">
        <v>65</v>
      </c>
      <c r="T117" s="11" t="s">
        <v>66</v>
      </c>
      <c r="U117" s="11" t="s">
        <v>67</v>
      </c>
    </row>
    <row r="118" spans="1:30">
      <c r="A118" s="11" t="s">
        <v>11</v>
      </c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</row>
    <row r="119" spans="1:30">
      <c r="A119" s="11" t="s">
        <v>191</v>
      </c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</row>
    <row r="120" spans="1:30">
      <c r="A120" s="11" t="s">
        <v>192</v>
      </c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</row>
    <row r="121" spans="1:30">
      <c r="A121" s="11" t="s">
        <v>14</v>
      </c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</row>
    <row r="122" spans="1:30">
      <c r="A122" s="11" t="s">
        <v>15</v>
      </c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</row>
    <row r="123" spans="1:30">
      <c r="A123" s="11" t="s">
        <v>16</v>
      </c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</row>
    <row r="124" spans="1:30">
      <c r="A124" s="11" t="s">
        <v>17</v>
      </c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</row>
    <row r="125" spans="1:30">
      <c r="A125" s="11" t="s">
        <v>18</v>
      </c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</row>
    <row r="126" spans="1:30">
      <c r="A126" s="11" t="s">
        <v>19</v>
      </c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</row>
    <row r="127" spans="1:30">
      <c r="A127" s="11" t="s">
        <v>20</v>
      </c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</row>
    <row r="128" spans="1:30">
      <c r="A128" s="11" t="s">
        <v>21</v>
      </c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</row>
    <row r="129" spans="1:21">
      <c r="A129" s="11" t="s">
        <v>22</v>
      </c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</row>
    <row r="130" spans="1:21">
      <c r="A130" s="11" t="s">
        <v>23</v>
      </c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</row>
    <row r="132" spans="1:21">
      <c r="A132" s="106" t="s">
        <v>463</v>
      </c>
      <c r="B132" s="106"/>
      <c r="C132" s="106"/>
      <c r="D132" s="106"/>
      <c r="E132" s="106"/>
      <c r="F132" s="106"/>
      <c r="G132" s="106"/>
      <c r="H132" s="106"/>
      <c r="I132" s="106"/>
      <c r="J132" s="106"/>
      <c r="K132" s="106"/>
      <c r="L132" s="106"/>
      <c r="M132" s="106"/>
      <c r="N132" s="106"/>
    </row>
    <row r="133" spans="1:21">
      <c r="A133" s="4"/>
      <c r="B133" s="57" t="s">
        <v>11</v>
      </c>
      <c r="C133" s="57" t="s">
        <v>373</v>
      </c>
      <c r="D133" s="57" t="s">
        <v>374</v>
      </c>
      <c r="E133" s="57" t="s">
        <v>14</v>
      </c>
      <c r="F133" s="57" t="s">
        <v>15</v>
      </c>
      <c r="G133" s="57" t="s">
        <v>16</v>
      </c>
      <c r="H133" s="57" t="s">
        <v>17</v>
      </c>
      <c r="I133" s="57" t="s">
        <v>18</v>
      </c>
      <c r="J133" s="57" t="s">
        <v>19</v>
      </c>
      <c r="K133" s="57" t="s">
        <v>20</v>
      </c>
      <c r="L133" s="57" t="s">
        <v>21</v>
      </c>
      <c r="M133" s="57" t="s">
        <v>22</v>
      </c>
      <c r="N133" s="57" t="s">
        <v>23</v>
      </c>
    </row>
    <row r="134" spans="1:21">
      <c r="A134" s="57" t="s">
        <v>11</v>
      </c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</row>
    <row r="135" spans="1:21">
      <c r="A135" s="57" t="s">
        <v>373</v>
      </c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</row>
    <row r="136" spans="1:21">
      <c r="A136" s="57" t="s">
        <v>374</v>
      </c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</row>
    <row r="137" spans="1:21">
      <c r="A137" s="57" t="s">
        <v>14</v>
      </c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</row>
    <row r="138" spans="1:21">
      <c r="A138" s="57" t="s">
        <v>15</v>
      </c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</row>
    <row r="139" spans="1:21">
      <c r="A139" s="57" t="s">
        <v>16</v>
      </c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</row>
    <row r="140" spans="1:21">
      <c r="A140" s="57" t="s">
        <v>17</v>
      </c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</row>
    <row r="141" spans="1:21">
      <c r="A141" s="57" t="s">
        <v>18</v>
      </c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</row>
    <row r="142" spans="1:21">
      <c r="A142" s="57" t="s">
        <v>19</v>
      </c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</row>
    <row r="143" spans="1:21">
      <c r="A143" s="57" t="s">
        <v>20</v>
      </c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</row>
    <row r="144" spans="1:21">
      <c r="A144" s="57" t="s">
        <v>21</v>
      </c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</row>
    <row r="145" spans="1:14">
      <c r="A145" s="57" t="s">
        <v>22</v>
      </c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</row>
    <row r="146" spans="1:14">
      <c r="A146" s="57" t="s">
        <v>23</v>
      </c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</row>
  </sheetData>
  <mergeCells count="9">
    <mergeCell ref="A132:N132"/>
    <mergeCell ref="A116:U116"/>
    <mergeCell ref="A93:N93"/>
    <mergeCell ref="A26:N26"/>
    <mergeCell ref="P51:AC51"/>
    <mergeCell ref="A51:N51"/>
    <mergeCell ref="P76:AC76"/>
    <mergeCell ref="P32:AC32"/>
    <mergeCell ref="P26:AC26"/>
  </mergeCells>
  <phoneticPr fontId="1" type="noConversion"/>
  <conditionalFormatting sqref="Q78:AC90">
    <cfRule type="cellIs" dxfId="5" priority="1" operator="lessThanOrEqual">
      <formula>-0.5</formula>
    </cfRule>
    <cfRule type="cellIs" dxfId="4" priority="2" operator="greaterThanOrEqual">
      <formula>0.5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3"/>
  <sheetViews>
    <sheetView zoomScale="55" zoomScaleNormal="55" workbookViewId="0">
      <selection activeCell="D13" sqref="D13"/>
    </sheetView>
  </sheetViews>
  <sheetFormatPr defaultColWidth="5.19921875" defaultRowHeight="17.399999999999999"/>
  <cols>
    <col min="1" max="1" width="9.19921875" style="9" bestFit="1" customWidth="1"/>
    <col min="2" max="7" width="6.796875" style="9" bestFit="1" customWidth="1"/>
    <col min="8" max="8" width="7.296875" style="9" bestFit="1" customWidth="1"/>
    <col min="9" max="10" width="6.796875" style="9" bestFit="1" customWidth="1"/>
    <col min="11" max="11" width="7.296875" style="9" bestFit="1" customWidth="1"/>
    <col min="12" max="12" width="12.5" style="9" bestFit="1" customWidth="1"/>
    <col min="13" max="14" width="6.796875" style="9" bestFit="1" customWidth="1"/>
    <col min="15" max="21" width="5.19921875" style="9"/>
    <col min="22" max="22" width="9.19921875" style="9" bestFit="1" customWidth="1"/>
    <col min="23" max="28" width="6.796875" style="9" bestFit="1" customWidth="1"/>
    <col min="29" max="29" width="7.296875" style="9" bestFit="1" customWidth="1"/>
    <col min="30" max="31" width="6.796875" style="9" bestFit="1" customWidth="1"/>
    <col min="32" max="33" width="7.296875" style="9" bestFit="1" customWidth="1"/>
    <col min="34" max="35" width="6.796875" style="9" bestFit="1" customWidth="1"/>
    <col min="36" max="16384" width="5.19921875" style="9"/>
  </cols>
  <sheetData>
    <row r="1" spans="1:35">
      <c r="A1" s="9" t="s">
        <v>307</v>
      </c>
      <c r="B1" s="9" t="s">
        <v>263</v>
      </c>
      <c r="C1" s="9" t="s">
        <v>224</v>
      </c>
      <c r="L1" s="10"/>
      <c r="M1" s="10"/>
      <c r="N1" s="10"/>
      <c r="AG1" s="10"/>
      <c r="AH1" s="10"/>
      <c r="AI1" s="10"/>
    </row>
    <row r="2" spans="1:35">
      <c r="A2" s="9">
        <v>0.99999999999999989</v>
      </c>
      <c r="B2" s="9">
        <v>-0.93233761909487523</v>
      </c>
      <c r="C2" s="9">
        <v>0.40471087584412418</v>
      </c>
      <c r="L2" s="10"/>
      <c r="M2" s="10"/>
      <c r="N2" s="10"/>
      <c r="AG2" s="10"/>
      <c r="AH2" s="10"/>
      <c r="AI2" s="10"/>
    </row>
    <row r="3" spans="1:35">
      <c r="A3" s="9">
        <v>-0.93233761909487523</v>
      </c>
      <c r="B3" s="9">
        <v>1.0000000000000002</v>
      </c>
      <c r="C3" s="9">
        <v>-0.53889546234177332</v>
      </c>
      <c r="L3" s="10"/>
      <c r="M3" s="10"/>
      <c r="N3" s="10"/>
      <c r="AG3" s="10"/>
      <c r="AH3" s="10"/>
      <c r="AI3" s="10"/>
    </row>
    <row r="4" spans="1:35">
      <c r="A4" s="9">
        <v>0.40471087584412418</v>
      </c>
      <c r="B4" s="9">
        <v>-0.53889546234177332</v>
      </c>
      <c r="C4" s="9">
        <v>1.0000000000000002</v>
      </c>
      <c r="L4" s="10"/>
      <c r="M4" s="10"/>
      <c r="N4" s="10"/>
      <c r="AG4" s="10"/>
      <c r="AH4" s="10"/>
      <c r="AI4" s="10"/>
    </row>
    <row r="5" spans="1:35">
      <c r="L5" s="10"/>
      <c r="M5" s="10"/>
      <c r="N5" s="10"/>
      <c r="AG5" s="10"/>
      <c r="AH5" s="10"/>
      <c r="AI5" s="10"/>
    </row>
    <row r="6" spans="1:35">
      <c r="B6" s="9" t="s">
        <v>193</v>
      </c>
      <c r="C6" s="9" t="s">
        <v>194</v>
      </c>
      <c r="D6" s="9" t="s">
        <v>195</v>
      </c>
      <c r="L6" s="10"/>
      <c r="M6" s="10"/>
      <c r="N6" s="10"/>
      <c r="AG6" s="10"/>
      <c r="AH6" s="10"/>
      <c r="AI6" s="10"/>
    </row>
    <row r="7" spans="1:35">
      <c r="A7" s="9" t="s">
        <v>199</v>
      </c>
      <c r="B7" s="9">
        <v>2.2809865548276655</v>
      </c>
      <c r="C7" s="9">
        <v>0.6640682649739662</v>
      </c>
      <c r="D7" s="9">
        <v>5.4945180198368977E-2</v>
      </c>
    </row>
    <row r="9" spans="1:35">
      <c r="A9" s="9" t="s">
        <v>391</v>
      </c>
    </row>
    <row r="10" spans="1:35">
      <c r="B10" s="9" t="s">
        <v>193</v>
      </c>
      <c r="C10" s="9" t="s">
        <v>194</v>
      </c>
      <c r="D10" s="9" t="s">
        <v>195</v>
      </c>
    </row>
    <row r="11" spans="1:35">
      <c r="A11" s="9" t="s">
        <v>307</v>
      </c>
      <c r="B11" s="9">
        <v>-0.61254722012439455</v>
      </c>
      <c r="C11" s="9">
        <v>-0.42459393548240426</v>
      </c>
      <c r="D11" s="9">
        <v>0.66671275154255194</v>
      </c>
    </row>
    <row r="12" spans="1:35">
      <c r="A12" s="9" t="s">
        <v>263</v>
      </c>
      <c r="B12" s="9">
        <v>0.64061859198812876</v>
      </c>
      <c r="C12" s="9">
        <v>0.22742392684738075</v>
      </c>
      <c r="D12" s="9">
        <v>0.73340723823566456</v>
      </c>
    </row>
    <row r="13" spans="1:35">
      <c r="A13" s="9" t="s">
        <v>224</v>
      </c>
      <c r="B13" s="9">
        <v>-0.46302669762879134</v>
      </c>
      <c r="C13" s="9">
        <v>0.87635514915408641</v>
      </c>
      <c r="D13" s="9">
        <v>0.13269487493529941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input_Click">
                <anchor moveWithCells="1">
                  <from>
                    <xdr:col>13</xdr:col>
                    <xdr:colOff>320040</xdr:colOff>
                    <xdr:row>0</xdr:row>
                    <xdr:rowOff>114300</xdr:rowOff>
                  </from>
                  <to>
                    <xdr:col>18</xdr:col>
                    <xdr:colOff>152400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35"/>
  <sheetViews>
    <sheetView zoomScale="55" zoomScaleNormal="55" workbookViewId="0">
      <selection activeCell="R23" sqref="R23:R27"/>
    </sheetView>
  </sheetViews>
  <sheetFormatPr defaultRowHeight="17.399999999999999"/>
  <cols>
    <col min="1" max="1" width="10.69921875" style="3" bestFit="1" customWidth="1"/>
    <col min="2" max="2" width="10.09765625" style="3" bestFit="1" customWidth="1"/>
    <col min="3" max="7" width="8.796875" style="3"/>
    <col min="8" max="24" width="8.796875" style="2"/>
    <col min="25" max="27" width="14.296875" style="2" customWidth="1"/>
    <col min="28" max="16384" width="8.796875" style="2"/>
  </cols>
  <sheetData>
    <row r="1" spans="1:31">
      <c r="A1" s="107" t="s">
        <v>200</v>
      </c>
      <c r="B1" s="107"/>
      <c r="C1" s="107"/>
      <c r="E1" s="107" t="s">
        <v>201</v>
      </c>
      <c r="F1" s="107"/>
      <c r="G1" s="107"/>
      <c r="I1" s="107" t="s">
        <v>202</v>
      </c>
      <c r="J1" s="107"/>
      <c r="K1" s="107"/>
      <c r="M1" s="107" t="s">
        <v>203</v>
      </c>
      <c r="N1" s="107"/>
      <c r="O1" s="107"/>
      <c r="Q1" s="107" t="s">
        <v>204</v>
      </c>
      <c r="R1" s="107"/>
      <c r="U1" s="107" t="s">
        <v>205</v>
      </c>
      <c r="V1" s="107"/>
    </row>
    <row r="2" spans="1:31">
      <c r="B2" s="3" t="s">
        <v>206</v>
      </c>
      <c r="C2" s="3" t="s">
        <v>207</v>
      </c>
      <c r="F2" s="3" t="s">
        <v>206</v>
      </c>
      <c r="G2" s="3" t="s">
        <v>207</v>
      </c>
      <c r="J2" s="2" t="s">
        <v>206</v>
      </c>
      <c r="K2" s="2" t="s">
        <v>207</v>
      </c>
      <c r="L2" s="11"/>
      <c r="M2" s="3"/>
      <c r="N2" s="4" t="s">
        <v>193</v>
      </c>
      <c r="O2" s="4" t="s">
        <v>194</v>
      </c>
      <c r="P2" s="3"/>
      <c r="Q2" s="3"/>
      <c r="R2" s="4" t="s">
        <v>208</v>
      </c>
      <c r="U2" s="2" t="s">
        <v>209</v>
      </c>
      <c r="V2" s="85"/>
      <c r="AC2" s="3"/>
      <c r="AD2" s="3"/>
      <c r="AE2" s="3"/>
    </row>
    <row r="3" spans="1:31">
      <c r="A3" s="3" t="s">
        <v>210</v>
      </c>
      <c r="B3" s="4">
        <v>25</v>
      </c>
      <c r="C3" s="3">
        <v>72</v>
      </c>
      <c r="E3" s="3" t="s">
        <v>210</v>
      </c>
      <c r="F3" s="85"/>
      <c r="G3" s="85"/>
      <c r="I3" s="3" t="s">
        <v>206</v>
      </c>
      <c r="J3" s="87"/>
      <c r="K3" s="87"/>
      <c r="L3" s="11"/>
      <c r="M3" s="3" t="s">
        <v>210</v>
      </c>
      <c r="N3" s="85"/>
      <c r="O3" s="85"/>
      <c r="P3" s="3"/>
      <c r="Q3" s="3" t="s">
        <v>210</v>
      </c>
      <c r="R3" s="85"/>
      <c r="S3" s="3"/>
      <c r="T3" s="3"/>
      <c r="U3" s="3" t="s">
        <v>211</v>
      </c>
      <c r="V3" s="85"/>
      <c r="AC3" s="12"/>
      <c r="AD3" s="13"/>
      <c r="AE3" s="13"/>
    </row>
    <row r="4" spans="1:31">
      <c r="A4" s="3" t="s">
        <v>214</v>
      </c>
      <c r="B4" s="4">
        <v>23.9</v>
      </c>
      <c r="C4" s="3">
        <v>72</v>
      </c>
      <c r="E4" s="3" t="s">
        <v>214</v>
      </c>
      <c r="F4" s="85"/>
      <c r="G4" s="85"/>
      <c r="I4" s="3" t="s">
        <v>207</v>
      </c>
      <c r="J4" s="87"/>
      <c r="K4" s="87"/>
      <c r="L4" s="11"/>
      <c r="M4" s="3" t="s">
        <v>214</v>
      </c>
      <c r="N4" s="85"/>
      <c r="O4" s="85"/>
      <c r="P4" s="3"/>
      <c r="Q4" s="3" t="s">
        <v>214</v>
      </c>
      <c r="R4" s="85"/>
      <c r="S4" s="3"/>
      <c r="T4" s="3"/>
      <c r="U4" s="3" t="s">
        <v>215</v>
      </c>
      <c r="V4" s="87"/>
      <c r="AC4" s="12"/>
      <c r="AD4" s="13"/>
      <c r="AE4" s="13"/>
    </row>
    <row r="5" spans="1:31">
      <c r="A5" s="3" t="s">
        <v>217</v>
      </c>
      <c r="B5" s="4">
        <v>23.2</v>
      </c>
      <c r="C5" s="3">
        <v>74</v>
      </c>
      <c r="E5" s="3" t="s">
        <v>217</v>
      </c>
      <c r="F5" s="85"/>
      <c r="G5" s="85"/>
      <c r="H5" s="3"/>
      <c r="I5" s="3"/>
      <c r="J5" s="3"/>
      <c r="K5" s="3"/>
      <c r="L5" s="3"/>
      <c r="M5" s="3" t="s">
        <v>217</v>
      </c>
      <c r="N5" s="85"/>
      <c r="O5" s="85"/>
      <c r="P5" s="3"/>
      <c r="Q5" s="3" t="s">
        <v>217</v>
      </c>
      <c r="R5" s="85"/>
      <c r="S5" s="3"/>
      <c r="T5" s="3"/>
      <c r="U5" s="3"/>
      <c r="V5" s="3"/>
      <c r="AC5" s="12"/>
      <c r="AD5" s="13"/>
      <c r="AE5" s="13"/>
    </row>
    <row r="6" spans="1:31">
      <c r="A6" s="3" t="s">
        <v>220</v>
      </c>
      <c r="B6" s="4">
        <v>24.7</v>
      </c>
      <c r="C6" s="3">
        <v>72</v>
      </c>
      <c r="E6" s="3" t="s">
        <v>220</v>
      </c>
      <c r="F6" s="85"/>
      <c r="G6" s="85"/>
      <c r="H6" s="3"/>
      <c r="I6" s="107" t="s">
        <v>548</v>
      </c>
      <c r="J6" s="107"/>
      <c r="K6" s="107"/>
      <c r="L6" s="3"/>
      <c r="M6" s="3" t="s">
        <v>220</v>
      </c>
      <c r="N6" s="85"/>
      <c r="O6" s="85"/>
      <c r="P6" s="3"/>
      <c r="Q6" s="3" t="s">
        <v>220</v>
      </c>
      <c r="R6" s="85"/>
      <c r="S6" s="3"/>
      <c r="T6" s="3"/>
      <c r="U6" s="4"/>
      <c r="V6" s="3"/>
      <c r="AC6" s="12"/>
      <c r="AD6" s="13"/>
      <c r="AE6" s="13"/>
    </row>
    <row r="7" spans="1:31">
      <c r="A7" s="3" t="s">
        <v>222</v>
      </c>
      <c r="B7" s="4">
        <v>24.4</v>
      </c>
      <c r="C7" s="3">
        <v>73</v>
      </c>
      <c r="E7" s="3" t="s">
        <v>222</v>
      </c>
      <c r="F7" s="85"/>
      <c r="G7" s="85"/>
      <c r="H7" s="3"/>
      <c r="I7" s="9"/>
      <c r="J7" s="9" t="s">
        <v>193</v>
      </c>
      <c r="K7" s="9" t="s">
        <v>194</v>
      </c>
      <c r="L7" s="3"/>
      <c r="M7" s="3" t="s">
        <v>222</v>
      </c>
      <c r="N7" s="85"/>
      <c r="O7" s="85"/>
      <c r="P7" s="3"/>
      <c r="Q7" s="3" t="s">
        <v>222</v>
      </c>
      <c r="R7" s="85"/>
      <c r="S7" s="3"/>
      <c r="T7" s="3"/>
      <c r="U7" s="3"/>
      <c r="V7" s="3"/>
    </row>
    <row r="8" spans="1:31">
      <c r="A8" s="3" t="s">
        <v>223</v>
      </c>
      <c r="B8" s="4">
        <v>24</v>
      </c>
      <c r="C8" s="3">
        <v>73</v>
      </c>
      <c r="E8" s="3" t="s">
        <v>223</v>
      </c>
      <c r="F8" s="85"/>
      <c r="G8" s="85"/>
      <c r="I8" s="9" t="s">
        <v>224</v>
      </c>
      <c r="J8" s="86"/>
      <c r="K8" s="86"/>
      <c r="M8" s="3" t="s">
        <v>223</v>
      </c>
      <c r="N8" s="85"/>
      <c r="O8" s="85"/>
      <c r="P8" s="3"/>
      <c r="Q8" s="3" t="s">
        <v>223</v>
      </c>
      <c r="R8" s="85"/>
      <c r="S8" s="3"/>
      <c r="T8" s="3"/>
      <c r="U8" s="3"/>
      <c r="V8" s="3"/>
      <c r="AD8" s="11"/>
      <c r="AE8" s="11"/>
    </row>
    <row r="9" spans="1:31">
      <c r="A9" s="3" t="s">
        <v>225</v>
      </c>
      <c r="B9" s="4">
        <v>24.6</v>
      </c>
      <c r="C9" s="3">
        <v>70</v>
      </c>
      <c r="E9" s="3" t="s">
        <v>225</v>
      </c>
      <c r="F9" s="85"/>
      <c r="G9" s="85"/>
      <c r="I9" s="9" t="s">
        <v>207</v>
      </c>
      <c r="J9" s="86"/>
      <c r="K9" s="86"/>
      <c r="M9" s="3" t="s">
        <v>225</v>
      </c>
      <c r="N9" s="85"/>
      <c r="O9" s="85"/>
      <c r="P9" s="3"/>
      <c r="Q9" s="3" t="s">
        <v>225</v>
      </c>
      <c r="R9" s="85"/>
      <c r="S9" s="3"/>
      <c r="T9" s="3"/>
      <c r="U9" s="3"/>
      <c r="V9" s="3"/>
      <c r="AD9" s="11"/>
      <c r="AE9" s="11"/>
    </row>
    <row r="10" spans="1:31">
      <c r="A10" s="3" t="s">
        <v>226</v>
      </c>
      <c r="B10" s="4">
        <v>24</v>
      </c>
      <c r="C10" s="3">
        <v>71</v>
      </c>
      <c r="E10" s="3" t="s">
        <v>226</v>
      </c>
      <c r="F10" s="85"/>
      <c r="G10" s="85"/>
      <c r="M10" s="3" t="s">
        <v>226</v>
      </c>
      <c r="N10" s="85"/>
      <c r="O10" s="85"/>
      <c r="P10" s="3"/>
      <c r="Q10" s="3" t="s">
        <v>226</v>
      </c>
      <c r="R10" s="85"/>
      <c r="S10" s="3"/>
      <c r="T10" s="3"/>
      <c r="U10" s="3"/>
      <c r="V10" s="3"/>
    </row>
    <row r="11" spans="1:31">
      <c r="A11" s="3" t="s">
        <v>227</v>
      </c>
      <c r="B11" s="4">
        <v>24.2</v>
      </c>
      <c r="C11" s="3">
        <v>70</v>
      </c>
      <c r="E11" s="3" t="s">
        <v>227</v>
      </c>
      <c r="F11" s="85"/>
      <c r="G11" s="85"/>
      <c r="I11" s="107" t="s">
        <v>547</v>
      </c>
      <c r="J11" s="107"/>
      <c r="K11" s="107"/>
      <c r="M11" s="3" t="s">
        <v>227</v>
      </c>
      <c r="N11" s="85"/>
      <c r="O11" s="85"/>
      <c r="P11" s="3"/>
      <c r="Q11" s="3" t="s">
        <v>227</v>
      </c>
      <c r="R11" s="85"/>
      <c r="S11" s="3"/>
      <c r="T11" s="3"/>
      <c r="U11" s="3"/>
      <c r="V11" s="3"/>
    </row>
    <row r="12" spans="1:31">
      <c r="A12" s="3" t="s">
        <v>228</v>
      </c>
      <c r="B12" s="4">
        <v>25.2</v>
      </c>
      <c r="C12" s="3">
        <v>71</v>
      </c>
      <c r="E12" s="3" t="s">
        <v>228</v>
      </c>
      <c r="F12" s="85"/>
      <c r="G12" s="85"/>
      <c r="I12" s="9"/>
      <c r="J12" s="9" t="s">
        <v>193</v>
      </c>
      <c r="K12" s="9" t="s">
        <v>194</v>
      </c>
      <c r="M12" s="3" t="s">
        <v>228</v>
      </c>
      <c r="N12" s="85"/>
      <c r="O12" s="85"/>
      <c r="P12" s="3"/>
      <c r="Q12" s="3" t="s">
        <v>228</v>
      </c>
      <c r="R12" s="85"/>
      <c r="S12" s="3"/>
      <c r="T12" s="3"/>
      <c r="U12" s="3"/>
      <c r="V12" s="3"/>
    </row>
    <row r="13" spans="1:31">
      <c r="A13" s="3" t="s">
        <v>229</v>
      </c>
      <c r="B13" s="4">
        <v>24.2</v>
      </c>
      <c r="C13" s="3">
        <v>73</v>
      </c>
      <c r="E13" s="3" t="s">
        <v>229</v>
      </c>
      <c r="F13" s="85"/>
      <c r="G13" s="85"/>
      <c r="I13" s="9" t="s">
        <v>199</v>
      </c>
      <c r="J13" s="86"/>
      <c r="K13" s="86"/>
      <c r="M13" s="3" t="s">
        <v>229</v>
      </c>
      <c r="N13" s="85"/>
      <c r="O13" s="85"/>
      <c r="P13" s="3"/>
      <c r="Q13" s="3" t="s">
        <v>229</v>
      </c>
      <c r="R13" s="85"/>
      <c r="S13" s="3"/>
      <c r="T13" s="3"/>
      <c r="U13" s="3"/>
      <c r="V13" s="3"/>
    </row>
    <row r="14" spans="1:31">
      <c r="A14" s="3" t="s">
        <v>230</v>
      </c>
      <c r="B14" s="4">
        <v>25.6</v>
      </c>
      <c r="C14" s="3">
        <v>65</v>
      </c>
      <c r="E14" s="3" t="s">
        <v>230</v>
      </c>
      <c r="F14" s="85"/>
      <c r="G14" s="85"/>
      <c r="M14" s="3" t="s">
        <v>230</v>
      </c>
      <c r="N14" s="85"/>
      <c r="O14" s="85"/>
      <c r="P14" s="3"/>
      <c r="Q14" s="3" t="s">
        <v>230</v>
      </c>
      <c r="R14" s="85"/>
      <c r="S14" s="3"/>
      <c r="T14" s="3"/>
      <c r="U14" s="3"/>
      <c r="V14" s="3"/>
      <c r="Z14" s="3"/>
    </row>
    <row r="15" spans="1:31">
      <c r="A15" s="3" t="s">
        <v>231</v>
      </c>
      <c r="B15" s="4">
        <v>25.9</v>
      </c>
      <c r="C15" s="3">
        <v>69</v>
      </c>
      <c r="E15" s="3" t="s">
        <v>231</v>
      </c>
      <c r="F15" s="85"/>
      <c r="G15" s="85"/>
      <c r="I15" s="107" t="s">
        <v>232</v>
      </c>
      <c r="J15" s="107"/>
      <c r="K15" s="107"/>
      <c r="M15" s="3" t="s">
        <v>231</v>
      </c>
      <c r="N15" s="85"/>
      <c r="O15" s="85"/>
      <c r="P15" s="3"/>
      <c r="Q15" s="3" t="s">
        <v>231</v>
      </c>
      <c r="R15" s="85"/>
      <c r="S15" s="3"/>
      <c r="T15" s="3"/>
      <c r="U15" s="3"/>
      <c r="V15" s="3"/>
      <c r="Y15" s="3"/>
      <c r="Z15" s="3"/>
    </row>
    <row r="16" spans="1:31">
      <c r="A16" s="3" t="s">
        <v>233</v>
      </c>
      <c r="B16" s="4">
        <v>25.2</v>
      </c>
      <c r="C16" s="3">
        <v>67</v>
      </c>
      <c r="E16" s="3" t="s">
        <v>233</v>
      </c>
      <c r="F16" s="85"/>
      <c r="G16" s="85"/>
      <c r="J16" s="11" t="s">
        <v>193</v>
      </c>
      <c r="K16" s="11" t="s">
        <v>194</v>
      </c>
      <c r="M16" s="3" t="s">
        <v>233</v>
      </c>
      <c r="N16" s="85"/>
      <c r="O16" s="85"/>
      <c r="P16" s="3"/>
      <c r="Q16" s="3" t="s">
        <v>233</v>
      </c>
      <c r="R16" s="85"/>
      <c r="S16" s="3"/>
      <c r="T16" s="3"/>
      <c r="U16" s="3"/>
      <c r="V16" s="3"/>
      <c r="Y16" s="3"/>
      <c r="Z16" s="3"/>
    </row>
    <row r="17" spans="1:26">
      <c r="A17" s="3" t="s">
        <v>234</v>
      </c>
      <c r="B17" s="4">
        <v>26</v>
      </c>
      <c r="C17" s="3">
        <v>67</v>
      </c>
      <c r="E17" s="3" t="s">
        <v>234</v>
      </c>
      <c r="F17" s="85"/>
      <c r="G17" s="85"/>
      <c r="I17" s="11" t="s">
        <v>224</v>
      </c>
      <c r="J17" s="85"/>
      <c r="K17" s="85"/>
      <c r="M17" s="3" t="s">
        <v>234</v>
      </c>
      <c r="N17" s="85"/>
      <c r="O17" s="85"/>
      <c r="P17" s="3"/>
      <c r="Q17" s="3" t="s">
        <v>234</v>
      </c>
      <c r="R17" s="85"/>
      <c r="S17" s="3"/>
      <c r="T17" s="3"/>
      <c r="U17" s="3"/>
      <c r="V17" s="3"/>
      <c r="Y17" s="3"/>
      <c r="Z17" s="3"/>
    </row>
    <row r="18" spans="1:26">
      <c r="A18" s="3" t="s">
        <v>211</v>
      </c>
      <c r="B18" s="85"/>
      <c r="C18" s="87"/>
      <c r="E18" s="3" t="s">
        <v>211</v>
      </c>
      <c r="F18" s="85"/>
      <c r="G18" s="85"/>
      <c r="I18" s="11" t="s">
        <v>207</v>
      </c>
      <c r="J18" s="85"/>
      <c r="K18" s="85"/>
      <c r="M18" s="3"/>
      <c r="N18" s="4"/>
      <c r="O18" s="4"/>
      <c r="P18" s="3"/>
      <c r="Q18" s="3"/>
      <c r="R18" s="4"/>
      <c r="S18" s="3"/>
      <c r="T18" s="3"/>
      <c r="U18" s="3"/>
      <c r="V18" s="3"/>
      <c r="Y18" s="3"/>
      <c r="Z18" s="3"/>
    </row>
    <row r="19" spans="1:26">
      <c r="A19" s="3" t="s">
        <v>215</v>
      </c>
      <c r="B19" s="85"/>
      <c r="C19" s="85"/>
      <c r="E19" s="3" t="s">
        <v>215</v>
      </c>
      <c r="F19" s="85"/>
      <c r="G19" s="85"/>
      <c r="M19" s="3"/>
      <c r="N19" s="4"/>
      <c r="O19" s="4"/>
      <c r="P19" s="3"/>
      <c r="Q19" s="3"/>
      <c r="R19" s="4"/>
      <c r="S19" s="3"/>
      <c r="T19" s="3"/>
      <c r="U19" s="3"/>
      <c r="V19" s="3"/>
      <c r="Y19" s="3"/>
      <c r="Z19" s="3"/>
    </row>
    <row r="20" spans="1:26">
      <c r="M20" s="4"/>
      <c r="N20" s="4"/>
      <c r="O20" s="4"/>
      <c r="P20" s="3"/>
      <c r="Q20" s="3"/>
      <c r="R20" s="4"/>
      <c r="S20" s="4"/>
      <c r="T20" s="4"/>
      <c r="U20" s="3"/>
      <c r="V20" s="3"/>
    </row>
    <row r="21" spans="1:26">
      <c r="A21" s="107" t="s">
        <v>465</v>
      </c>
      <c r="B21" s="107"/>
      <c r="C21" s="107"/>
      <c r="E21" s="107" t="s">
        <v>466</v>
      </c>
      <c r="F21" s="107"/>
      <c r="G21" s="107"/>
      <c r="M21" s="107" t="s">
        <v>203</v>
      </c>
      <c r="N21" s="107"/>
      <c r="O21" s="107"/>
      <c r="Q21" s="107" t="s">
        <v>204</v>
      </c>
      <c r="R21" s="107"/>
      <c r="S21" s="107"/>
      <c r="T21" s="3"/>
      <c r="U21" s="107" t="s">
        <v>466</v>
      </c>
      <c r="V21" s="107"/>
      <c r="W21" s="107"/>
    </row>
    <row r="22" spans="1:26">
      <c r="B22" s="3" t="s">
        <v>206</v>
      </c>
      <c r="C22" s="3" t="s">
        <v>207</v>
      </c>
      <c r="E22" s="4"/>
      <c r="F22" s="3" t="s">
        <v>206</v>
      </c>
      <c r="G22" s="3" t="s">
        <v>207</v>
      </c>
      <c r="M22" s="3"/>
      <c r="N22" s="4" t="s">
        <v>193</v>
      </c>
      <c r="O22" s="4" t="s">
        <v>194</v>
      </c>
      <c r="P22" s="3"/>
      <c r="Q22" s="3"/>
      <c r="R22" s="4" t="s">
        <v>208</v>
      </c>
      <c r="S22" s="4" t="s">
        <v>235</v>
      </c>
      <c r="T22" s="4"/>
      <c r="U22" s="4"/>
      <c r="V22" s="3" t="s">
        <v>206</v>
      </c>
      <c r="W22" s="3" t="s">
        <v>207</v>
      </c>
      <c r="X22" s="4" t="s">
        <v>469</v>
      </c>
      <c r="Y22" s="4" t="s">
        <v>470</v>
      </c>
    </row>
    <row r="23" spans="1:26">
      <c r="A23" s="12" t="s">
        <v>212</v>
      </c>
      <c r="B23" s="4">
        <v>23.3</v>
      </c>
      <c r="C23" s="4">
        <v>62</v>
      </c>
      <c r="E23" s="14" t="s">
        <v>236</v>
      </c>
      <c r="F23" s="85"/>
      <c r="G23" s="85"/>
      <c r="M23" s="14" t="s">
        <v>236</v>
      </c>
      <c r="N23" s="85"/>
      <c r="O23" s="85"/>
      <c r="P23" s="3"/>
      <c r="Q23" s="14" t="s">
        <v>236</v>
      </c>
      <c r="R23" s="85"/>
      <c r="S23" s="15" t="s">
        <v>213</v>
      </c>
      <c r="U23" s="14" t="s">
        <v>236</v>
      </c>
      <c r="V23" s="4">
        <f>F23</f>
        <v>0</v>
      </c>
      <c r="W23" s="4">
        <f t="shared" ref="W23:W26" si="0">G23</f>
        <v>0</v>
      </c>
      <c r="X23" s="15" t="s">
        <v>213</v>
      </c>
      <c r="Y23" s="2" t="s">
        <v>467</v>
      </c>
    </row>
    <row r="24" spans="1:26">
      <c r="A24" s="12" t="s">
        <v>216</v>
      </c>
      <c r="B24" s="4">
        <v>26.9</v>
      </c>
      <c r="C24" s="4">
        <v>77</v>
      </c>
      <c r="E24" s="14" t="s">
        <v>237</v>
      </c>
      <c r="F24" s="85"/>
      <c r="G24" s="85"/>
      <c r="L24" s="3"/>
      <c r="M24" s="14" t="s">
        <v>237</v>
      </c>
      <c r="N24" s="85"/>
      <c r="O24" s="85"/>
      <c r="P24" s="3"/>
      <c r="Q24" s="14" t="s">
        <v>237</v>
      </c>
      <c r="R24" s="85"/>
      <c r="S24" s="15" t="s">
        <v>213</v>
      </c>
      <c r="T24" s="3"/>
      <c r="U24" s="14" t="s">
        <v>237</v>
      </c>
      <c r="V24" s="4">
        <f t="shared" ref="V24:V26" si="1">F24</f>
        <v>0</v>
      </c>
      <c r="W24" s="4">
        <f t="shared" si="0"/>
        <v>0</v>
      </c>
      <c r="X24" s="15" t="s">
        <v>213</v>
      </c>
      <c r="Y24" s="2" t="s">
        <v>467</v>
      </c>
    </row>
    <row r="25" spans="1:26">
      <c r="A25" s="12" t="s">
        <v>218</v>
      </c>
      <c r="B25" s="4">
        <v>25.1</v>
      </c>
      <c r="C25" s="4">
        <v>71</v>
      </c>
      <c r="E25" s="14" t="s">
        <v>238</v>
      </c>
      <c r="F25" s="85"/>
      <c r="G25" s="85"/>
      <c r="L25" s="3"/>
      <c r="M25" s="14" t="s">
        <v>238</v>
      </c>
      <c r="N25" s="85"/>
      <c r="O25" s="85"/>
      <c r="P25" s="3"/>
      <c r="Q25" s="14" t="s">
        <v>238</v>
      </c>
      <c r="R25" s="85"/>
      <c r="S25" s="16" t="s">
        <v>219</v>
      </c>
      <c r="T25" s="3"/>
      <c r="U25" s="14" t="s">
        <v>238</v>
      </c>
      <c r="V25" s="4">
        <f t="shared" si="1"/>
        <v>0</v>
      </c>
      <c r="W25" s="4">
        <f t="shared" si="0"/>
        <v>0</v>
      </c>
      <c r="X25" s="16" t="s">
        <v>219</v>
      </c>
      <c r="Y25" s="3"/>
    </row>
    <row r="26" spans="1:26">
      <c r="A26" s="12" t="s">
        <v>221</v>
      </c>
      <c r="B26" s="4">
        <v>25.6</v>
      </c>
      <c r="C26" s="4">
        <v>73</v>
      </c>
      <c r="E26" s="14" t="s">
        <v>239</v>
      </c>
      <c r="F26" s="85"/>
      <c r="G26" s="85"/>
      <c r="L26" s="3"/>
      <c r="M26" s="14" t="s">
        <v>239</v>
      </c>
      <c r="N26" s="85"/>
      <c r="O26" s="85"/>
      <c r="P26" s="3"/>
      <c r="Q26" s="14" t="s">
        <v>239</v>
      </c>
      <c r="R26" s="85"/>
      <c r="S26" s="15" t="s">
        <v>213</v>
      </c>
      <c r="T26" s="3"/>
      <c r="U26" s="14" t="s">
        <v>239</v>
      </c>
      <c r="V26" s="4">
        <f t="shared" si="1"/>
        <v>0</v>
      </c>
      <c r="W26" s="4">
        <f t="shared" si="0"/>
        <v>0</v>
      </c>
      <c r="X26" s="15" t="s">
        <v>213</v>
      </c>
      <c r="Y26" s="3" t="s">
        <v>468</v>
      </c>
    </row>
    <row r="27" spans="1:26">
      <c r="L27" s="3"/>
      <c r="S27" s="3"/>
      <c r="T27" s="3"/>
      <c r="U27" s="3"/>
    </row>
    <row r="28" spans="1:26">
      <c r="E28" s="3" t="s">
        <v>43</v>
      </c>
      <c r="F28" s="85"/>
      <c r="G28" s="85"/>
      <c r="L28" s="3"/>
      <c r="S28" s="3"/>
      <c r="T28" s="3"/>
      <c r="U28" s="3"/>
    </row>
    <row r="29" spans="1:26">
      <c r="E29" s="3" t="s">
        <v>135</v>
      </c>
      <c r="F29" s="85"/>
      <c r="G29" s="85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1:26">
      <c r="A30" s="12"/>
      <c r="B30" s="14"/>
      <c r="C30" s="14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1:26">
      <c r="B31" s="4"/>
      <c r="C31" s="4"/>
      <c r="F31" s="4"/>
      <c r="G31" s="4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1:26">
      <c r="B32" s="4"/>
      <c r="C32" s="4"/>
      <c r="F32" s="4"/>
      <c r="G32" s="4"/>
    </row>
    <row r="35" spans="1:1">
      <c r="A35" s="17"/>
    </row>
  </sheetData>
  <mergeCells count="14">
    <mergeCell ref="U1:V1"/>
    <mergeCell ref="U21:W21"/>
    <mergeCell ref="M21:O21"/>
    <mergeCell ref="Q21:S21"/>
    <mergeCell ref="A1:C1"/>
    <mergeCell ref="E1:G1"/>
    <mergeCell ref="I1:K1"/>
    <mergeCell ref="M1:O1"/>
    <mergeCell ref="Q1:R1"/>
    <mergeCell ref="I6:K6"/>
    <mergeCell ref="I11:K11"/>
    <mergeCell ref="I15:K15"/>
    <mergeCell ref="A21:C21"/>
    <mergeCell ref="E21:G21"/>
  </mergeCells>
  <phoneticPr fontId="1" type="noConversion"/>
  <conditionalFormatting sqref="V23:W26">
    <cfRule type="cellIs" dxfId="3" priority="7" operator="greaterThan">
      <formula>$F$32</formula>
    </cfRule>
    <cfRule type="cellIs" dxfId="2" priority="8" operator="lessThan">
      <formula>$F$31</formula>
    </cfRule>
  </conditionalFormatting>
  <conditionalFormatting sqref="W23:W26">
    <cfRule type="cellIs" dxfId="1" priority="5" operator="greaterThan">
      <formula>$G$32</formula>
    </cfRule>
    <cfRule type="cellIs" dxfId="0" priority="6" operator="lessThan">
      <formula>$G$31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F29"/>
  <sheetViews>
    <sheetView topLeftCell="V1" zoomScale="55" zoomScaleNormal="55" workbookViewId="0">
      <selection activeCell="AX32" sqref="AX32"/>
    </sheetView>
  </sheetViews>
  <sheetFormatPr defaultRowHeight="17.399999999999999"/>
  <cols>
    <col min="1" max="5" width="8.796875" style="67"/>
    <col min="6" max="33" width="8.796875" style="67" customWidth="1"/>
    <col min="34" max="47" width="8.796875" style="67"/>
    <col min="48" max="48" width="10.19921875" style="67" bestFit="1" customWidth="1"/>
    <col min="49" max="49" width="9.8984375" style="67" bestFit="1" customWidth="1"/>
    <col min="50" max="50" width="8.796875" style="67"/>
    <col min="51" max="51" width="14.296875" style="67" bestFit="1" customWidth="1"/>
    <col min="52" max="52" width="9.8984375" style="67" bestFit="1" customWidth="1"/>
    <col min="53" max="53" width="8.796875" style="67"/>
    <col min="54" max="56" width="9.19921875" style="67" bestFit="1" customWidth="1"/>
    <col min="57" max="57" width="6.796875" style="67" bestFit="1" customWidth="1"/>
    <col min="58" max="58" width="16.796875" style="67" bestFit="1" customWidth="1"/>
    <col min="59" max="16384" width="8.796875" style="67"/>
  </cols>
  <sheetData>
    <row r="1" spans="1:58">
      <c r="B1" s="106" t="s">
        <v>481</v>
      </c>
      <c r="C1" s="106"/>
      <c r="D1" s="106"/>
      <c r="E1" s="106"/>
      <c r="G1" s="106" t="s">
        <v>240</v>
      </c>
      <c r="H1" s="106"/>
      <c r="I1" s="106"/>
      <c r="W1" s="106" t="s">
        <v>242</v>
      </c>
      <c r="X1" s="106"/>
      <c r="Y1" s="106"/>
      <c r="AD1" s="106" t="s">
        <v>549</v>
      </c>
      <c r="AE1" s="106"/>
      <c r="AF1" s="106"/>
      <c r="AG1" s="106"/>
      <c r="AI1" s="106" t="s">
        <v>466</v>
      </c>
      <c r="AJ1" s="106"/>
      <c r="AK1" s="106"/>
      <c r="AM1" s="106" t="s">
        <v>242</v>
      </c>
      <c r="AN1" s="106"/>
      <c r="AO1" s="106"/>
    </row>
    <row r="2" spans="1:58">
      <c r="B2" s="67" t="s">
        <v>473</v>
      </c>
      <c r="C2" s="67" t="s">
        <v>474</v>
      </c>
      <c r="D2" s="67" t="s">
        <v>475</v>
      </c>
      <c r="E2" s="67" t="s">
        <v>471</v>
      </c>
      <c r="G2" s="67" t="s">
        <v>473</v>
      </c>
      <c r="H2" s="67" t="s">
        <v>474</v>
      </c>
      <c r="I2" s="67" t="s">
        <v>475</v>
      </c>
      <c r="K2" s="106" t="s">
        <v>483</v>
      </c>
      <c r="L2" s="106"/>
      <c r="M2" s="106"/>
      <c r="N2" s="106"/>
      <c r="O2" s="106"/>
      <c r="P2" s="106"/>
      <c r="Q2" s="106"/>
      <c r="R2" s="106"/>
      <c r="S2" s="106"/>
      <c r="T2" s="106"/>
      <c r="U2" s="106"/>
      <c r="W2" s="67" t="s">
        <v>473</v>
      </c>
      <c r="X2" s="67" t="s">
        <v>474</v>
      </c>
      <c r="Y2" s="67" t="s">
        <v>475</v>
      </c>
      <c r="AA2" s="68" t="s">
        <v>243</v>
      </c>
      <c r="AB2" s="66" t="s">
        <v>492</v>
      </c>
      <c r="AD2" s="67" t="s">
        <v>473</v>
      </c>
      <c r="AE2" s="67" t="s">
        <v>474</v>
      </c>
      <c r="AF2" s="67" t="s">
        <v>475</v>
      </c>
      <c r="AG2" s="67" t="s">
        <v>472</v>
      </c>
      <c r="AI2" s="67" t="s">
        <v>473</v>
      </c>
      <c r="AJ2" s="67" t="s">
        <v>474</v>
      </c>
      <c r="AK2" s="67" t="s">
        <v>475</v>
      </c>
      <c r="AM2" s="67" t="s">
        <v>473</v>
      </c>
      <c r="AN2" s="67" t="s">
        <v>474</v>
      </c>
      <c r="AO2" s="67" t="s">
        <v>475</v>
      </c>
      <c r="AQ2" s="68" t="s">
        <v>243</v>
      </c>
      <c r="AR2" s="66" t="s">
        <v>493</v>
      </c>
      <c r="AS2" s="69" t="s">
        <v>491</v>
      </c>
      <c r="AV2" s="68" t="s">
        <v>494</v>
      </c>
      <c r="AW2" s="55" t="s">
        <v>495</v>
      </c>
      <c r="AX2" s="71"/>
      <c r="AY2" s="68" t="s">
        <v>496</v>
      </c>
      <c r="AZ2" s="55" t="s">
        <v>495</v>
      </c>
    </row>
    <row r="3" spans="1:58">
      <c r="B3" s="67">
        <v>5.0999999999999996</v>
      </c>
      <c r="C3" s="67">
        <v>3.5</v>
      </c>
      <c r="D3" s="67">
        <v>1.4</v>
      </c>
      <c r="E3" s="67" t="s">
        <v>476</v>
      </c>
      <c r="G3" s="88"/>
      <c r="H3" s="88"/>
      <c r="I3" s="88"/>
      <c r="K3" s="67" t="s">
        <v>473</v>
      </c>
      <c r="L3" s="88"/>
      <c r="M3" s="88"/>
      <c r="N3" s="88"/>
      <c r="O3" s="88"/>
      <c r="P3" s="88"/>
      <c r="Q3" s="88"/>
      <c r="R3" s="88"/>
      <c r="S3" s="88"/>
      <c r="T3" s="88"/>
      <c r="U3" s="88"/>
      <c r="W3" s="88"/>
      <c r="X3" s="88"/>
      <c r="Y3" s="88"/>
      <c r="AA3" s="88"/>
      <c r="AB3" s="88"/>
      <c r="AD3" s="67">
        <v>5.4</v>
      </c>
      <c r="AE3" s="67">
        <v>3.7</v>
      </c>
      <c r="AF3" s="67">
        <v>1.5</v>
      </c>
      <c r="AG3" s="67" t="s">
        <v>476</v>
      </c>
      <c r="AI3" s="88"/>
      <c r="AJ3" s="88"/>
      <c r="AK3" s="88"/>
      <c r="AM3" s="88"/>
      <c r="AN3" s="88"/>
      <c r="AO3" s="88"/>
      <c r="AQ3" s="88"/>
      <c r="AR3" s="88"/>
      <c r="AS3" s="67" t="s">
        <v>485</v>
      </c>
      <c r="AV3" s="71">
        <v>1.5362724800065006</v>
      </c>
      <c r="AW3" s="71" t="s">
        <v>476</v>
      </c>
      <c r="AX3" s="71"/>
      <c r="AY3" s="71">
        <v>90.245482022909471</v>
      </c>
      <c r="AZ3" s="71" t="s">
        <v>489</v>
      </c>
      <c r="BB3" s="69" t="s">
        <v>473</v>
      </c>
      <c r="BC3" s="69" t="s">
        <v>474</v>
      </c>
      <c r="BD3" s="69" t="s">
        <v>475</v>
      </c>
      <c r="BE3" s="69" t="s">
        <v>472</v>
      </c>
      <c r="BF3" s="69" t="s">
        <v>497</v>
      </c>
    </row>
    <row r="4" spans="1:58">
      <c r="B4" s="67">
        <v>4.9000000000000004</v>
      </c>
      <c r="C4" s="67">
        <v>3</v>
      </c>
      <c r="D4" s="67">
        <v>1.4</v>
      </c>
      <c r="E4" s="67" t="s">
        <v>476</v>
      </c>
      <c r="G4" s="88"/>
      <c r="H4" s="88"/>
      <c r="I4" s="88"/>
      <c r="K4" s="67" t="s">
        <v>474</v>
      </c>
      <c r="L4" s="88"/>
      <c r="M4" s="88"/>
      <c r="N4" s="88"/>
      <c r="O4" s="88"/>
      <c r="P4" s="88"/>
      <c r="Q4" s="88"/>
      <c r="R4" s="88"/>
      <c r="S4" s="88"/>
      <c r="T4" s="88"/>
      <c r="U4" s="88"/>
      <c r="W4" s="88"/>
      <c r="X4" s="88"/>
      <c r="Y4" s="88"/>
      <c r="AA4" s="88"/>
      <c r="AB4" s="88"/>
      <c r="AD4" s="67">
        <v>4.8</v>
      </c>
      <c r="AE4" s="67">
        <v>3.4</v>
      </c>
      <c r="AF4" s="67">
        <v>1.6</v>
      </c>
      <c r="AG4" s="67" t="s">
        <v>476</v>
      </c>
      <c r="AI4" s="88"/>
      <c r="AJ4" s="88"/>
      <c r="AK4" s="88"/>
      <c r="AM4" s="88"/>
      <c r="AN4" s="88"/>
      <c r="AO4" s="88"/>
      <c r="AQ4" s="88"/>
      <c r="AR4" s="88"/>
      <c r="AS4" s="67" t="s">
        <v>485</v>
      </c>
      <c r="AV4" s="71">
        <v>1.4567044208987936</v>
      </c>
      <c r="AW4" s="71" t="s">
        <v>476</v>
      </c>
      <c r="AX4" s="71"/>
      <c r="AY4" s="71">
        <v>63.843313116783122</v>
      </c>
      <c r="AZ4" s="71" t="s">
        <v>489</v>
      </c>
      <c r="BB4" s="67">
        <v>5.4</v>
      </c>
      <c r="BC4" s="67">
        <v>3.7</v>
      </c>
      <c r="BD4" s="67">
        <v>1.5</v>
      </c>
      <c r="BE4" s="67" t="s">
        <v>476</v>
      </c>
      <c r="BF4" s="71" t="s">
        <v>476</v>
      </c>
    </row>
    <row r="5" spans="1:58">
      <c r="B5" s="67">
        <v>4.7</v>
      </c>
      <c r="C5" s="67">
        <v>3.2</v>
      </c>
      <c r="D5" s="67">
        <v>1.3</v>
      </c>
      <c r="E5" s="67" t="s">
        <v>476</v>
      </c>
      <c r="G5" s="88"/>
      <c r="H5" s="88"/>
      <c r="I5" s="88"/>
      <c r="K5" s="67" t="s">
        <v>475</v>
      </c>
      <c r="L5" s="88"/>
      <c r="M5" s="88"/>
      <c r="N5" s="88"/>
      <c r="O5" s="88"/>
      <c r="P5" s="88"/>
      <c r="Q5" s="88"/>
      <c r="R5" s="88"/>
      <c r="S5" s="88"/>
      <c r="T5" s="88"/>
      <c r="U5" s="88"/>
      <c r="W5" s="88"/>
      <c r="X5" s="88"/>
      <c r="Y5" s="88"/>
      <c r="AA5" s="88"/>
      <c r="AB5" s="88"/>
      <c r="AD5" s="67">
        <v>7</v>
      </c>
      <c r="AE5" s="67">
        <v>3.2</v>
      </c>
      <c r="AF5" s="67">
        <v>4.7</v>
      </c>
      <c r="AG5" s="67" t="s">
        <v>477</v>
      </c>
      <c r="AI5" s="88"/>
      <c r="AJ5" s="88"/>
      <c r="AK5" s="88"/>
      <c r="AM5" s="88"/>
      <c r="AN5" s="88"/>
      <c r="AO5" s="88"/>
      <c r="AQ5" s="88"/>
      <c r="AR5" s="88"/>
      <c r="AS5" s="67" t="s">
        <v>487</v>
      </c>
      <c r="AV5" s="71">
        <v>464.8744773271622</v>
      </c>
      <c r="AW5" s="71" t="s">
        <v>486</v>
      </c>
      <c r="AX5" s="71"/>
      <c r="AY5" s="71">
        <v>1.0706827907120628</v>
      </c>
      <c r="AZ5" s="71" t="s">
        <v>477</v>
      </c>
      <c r="BB5" s="67">
        <v>4.8</v>
      </c>
      <c r="BC5" s="67">
        <v>3.4</v>
      </c>
      <c r="BD5" s="67">
        <v>1.6</v>
      </c>
      <c r="BE5" s="67" t="s">
        <v>476</v>
      </c>
      <c r="BF5" s="71" t="s">
        <v>476</v>
      </c>
    </row>
    <row r="6" spans="1:58">
      <c r="B6" s="67">
        <v>4.5999999999999996</v>
      </c>
      <c r="C6" s="67">
        <v>3.1</v>
      </c>
      <c r="D6" s="67">
        <v>1.5</v>
      </c>
      <c r="E6" s="67" t="s">
        <v>476</v>
      </c>
      <c r="G6" s="88"/>
      <c r="H6" s="88"/>
      <c r="I6" s="88"/>
      <c r="W6" s="88"/>
      <c r="X6" s="88"/>
      <c r="Y6" s="88"/>
      <c r="AA6" s="88"/>
      <c r="AB6" s="88"/>
      <c r="AD6" s="67">
        <v>6.4</v>
      </c>
      <c r="AE6" s="67">
        <v>3.2</v>
      </c>
      <c r="AF6" s="67">
        <v>4.5</v>
      </c>
      <c r="AG6" s="67" t="s">
        <v>477</v>
      </c>
      <c r="AI6" s="88"/>
      <c r="AJ6" s="88"/>
      <c r="AK6" s="88"/>
      <c r="AM6" s="88"/>
      <c r="AN6" s="88"/>
      <c r="AO6" s="88"/>
      <c r="AQ6" s="88"/>
      <c r="AR6" s="88"/>
      <c r="AS6" s="67" t="s">
        <v>487</v>
      </c>
      <c r="AV6" s="71">
        <v>413.64807372224203</v>
      </c>
      <c r="AW6" s="71" t="s">
        <v>486</v>
      </c>
      <c r="AX6" s="71"/>
      <c r="AY6" s="71">
        <v>0.61836655022668507</v>
      </c>
      <c r="AZ6" s="71" t="s">
        <v>477</v>
      </c>
      <c r="BB6" s="67">
        <v>7</v>
      </c>
      <c r="BC6" s="67">
        <v>3.2</v>
      </c>
      <c r="BD6" s="67">
        <v>4.7</v>
      </c>
      <c r="BE6" s="67" t="s">
        <v>477</v>
      </c>
      <c r="BF6" s="71" t="s">
        <v>477</v>
      </c>
    </row>
    <row r="7" spans="1:58">
      <c r="B7" s="67">
        <v>5</v>
      </c>
      <c r="C7" s="67">
        <v>3.6</v>
      </c>
      <c r="D7" s="67">
        <v>1.4</v>
      </c>
      <c r="E7" s="67" t="s">
        <v>476</v>
      </c>
      <c r="G7" s="88"/>
      <c r="H7" s="88"/>
      <c r="I7" s="88"/>
      <c r="K7" s="106" t="s">
        <v>241</v>
      </c>
      <c r="L7" s="106"/>
      <c r="M7" s="106"/>
      <c r="N7" s="106"/>
      <c r="Q7" s="106" t="s">
        <v>484</v>
      </c>
      <c r="R7" s="106"/>
      <c r="S7" s="106"/>
      <c r="T7" s="106"/>
      <c r="W7" s="88"/>
      <c r="X7" s="88"/>
      <c r="Y7" s="88"/>
      <c r="AA7" s="88"/>
      <c r="AB7" s="88"/>
      <c r="AD7" s="67">
        <v>6.3</v>
      </c>
      <c r="AE7" s="67">
        <v>3.3</v>
      </c>
      <c r="AF7" s="67">
        <v>6</v>
      </c>
      <c r="AG7" s="67" t="s">
        <v>478</v>
      </c>
      <c r="AI7" s="88"/>
      <c r="AJ7" s="88"/>
      <c r="AK7" s="88"/>
      <c r="AM7" s="88"/>
      <c r="AN7" s="88"/>
      <c r="AO7" s="88"/>
      <c r="AQ7" s="88"/>
      <c r="AR7" s="88"/>
      <c r="AS7" s="67" t="s">
        <v>487</v>
      </c>
      <c r="AV7" s="71">
        <v>941.92485689928026</v>
      </c>
      <c r="AW7" s="71" t="s">
        <v>486</v>
      </c>
      <c r="AX7" s="71"/>
      <c r="AY7" s="71">
        <v>21.238586011208515</v>
      </c>
      <c r="AZ7" s="71" t="s">
        <v>489</v>
      </c>
      <c r="BB7" s="67">
        <v>6.4</v>
      </c>
      <c r="BC7" s="67">
        <v>3.2</v>
      </c>
      <c r="BD7" s="67">
        <v>4.5</v>
      </c>
      <c r="BE7" s="67" t="s">
        <v>477</v>
      </c>
      <c r="BF7" s="71" t="s">
        <v>477</v>
      </c>
    </row>
    <row r="8" spans="1:58">
      <c r="B8" s="67">
        <v>5.4</v>
      </c>
      <c r="C8" s="67">
        <v>3.9</v>
      </c>
      <c r="D8" s="67">
        <v>1.7</v>
      </c>
      <c r="E8" s="67" t="s">
        <v>476</v>
      </c>
      <c r="G8" s="88"/>
      <c r="H8" s="88"/>
      <c r="I8" s="88"/>
      <c r="L8" s="67" t="s">
        <v>473</v>
      </c>
      <c r="M8" s="67" t="s">
        <v>474</v>
      </c>
      <c r="N8" s="67" t="s">
        <v>475</v>
      </c>
      <c r="R8" s="67" t="s">
        <v>473</v>
      </c>
      <c r="S8" s="67" t="s">
        <v>474</v>
      </c>
      <c r="T8" s="67" t="s">
        <v>475</v>
      </c>
      <c r="W8" s="88"/>
      <c r="X8" s="88"/>
      <c r="Y8" s="88"/>
      <c r="AA8" s="88"/>
      <c r="AB8" s="88"/>
      <c r="AD8" s="67">
        <v>5.8</v>
      </c>
      <c r="AE8" s="67">
        <v>2.7</v>
      </c>
      <c r="AF8" s="67">
        <v>5.0999999999999996</v>
      </c>
      <c r="AG8" s="67" t="s">
        <v>478</v>
      </c>
      <c r="AI8" s="88"/>
      <c r="AJ8" s="88"/>
      <c r="AK8" s="88"/>
      <c r="AM8" s="88"/>
      <c r="AN8" s="88"/>
      <c r="AO8" s="88"/>
      <c r="AQ8" s="88"/>
      <c r="AR8" s="88"/>
      <c r="AS8" s="67" t="s">
        <v>487</v>
      </c>
      <c r="AV8" s="71">
        <v>637.45199529086926</v>
      </c>
      <c r="AW8" s="71" t="s">
        <v>486</v>
      </c>
      <c r="AX8" s="71"/>
      <c r="AY8" s="71">
        <v>9.0921606799781021</v>
      </c>
      <c r="AZ8" s="71" t="s">
        <v>489</v>
      </c>
      <c r="BB8" s="67">
        <v>6.3</v>
      </c>
      <c r="BC8" s="67">
        <v>3.3</v>
      </c>
      <c r="BD8" s="67">
        <v>6</v>
      </c>
      <c r="BE8" s="67" t="s">
        <v>478</v>
      </c>
      <c r="BF8" s="67" t="s">
        <v>498</v>
      </c>
    </row>
    <row r="9" spans="1:58">
      <c r="B9" s="67">
        <v>4.5999999999999996</v>
      </c>
      <c r="C9" s="67">
        <v>3.4</v>
      </c>
      <c r="D9" s="67">
        <v>1.4</v>
      </c>
      <c r="E9" s="67" t="s">
        <v>476</v>
      </c>
      <c r="G9" s="88"/>
      <c r="H9" s="88"/>
      <c r="I9" s="88"/>
      <c r="K9" s="67" t="s">
        <v>473</v>
      </c>
      <c r="L9" s="88"/>
      <c r="M9" s="88"/>
      <c r="N9" s="88"/>
      <c r="Q9" s="67" t="s">
        <v>473</v>
      </c>
      <c r="R9" s="88"/>
      <c r="S9" s="88"/>
      <c r="T9" s="88"/>
      <c r="W9" s="88"/>
      <c r="X9" s="88"/>
      <c r="Y9" s="88"/>
      <c r="AA9" s="88"/>
      <c r="AB9" s="88"/>
      <c r="AD9" s="67">
        <v>4.9000000000000004</v>
      </c>
      <c r="AE9" s="67">
        <v>3</v>
      </c>
      <c r="AF9" s="67">
        <v>1.4</v>
      </c>
      <c r="AG9" s="67" t="s">
        <v>476</v>
      </c>
      <c r="AI9" s="88"/>
      <c r="AJ9" s="88"/>
      <c r="AK9" s="88"/>
      <c r="AM9" s="88"/>
      <c r="AN9" s="88"/>
      <c r="AO9" s="88"/>
      <c r="AQ9" s="88"/>
      <c r="AR9" s="88"/>
      <c r="AS9" s="67" t="s">
        <v>485</v>
      </c>
      <c r="AV9" s="71">
        <v>1.3203020338570237</v>
      </c>
      <c r="AW9" s="71" t="s">
        <v>476</v>
      </c>
      <c r="AX9" s="71"/>
      <c r="AY9" s="71">
        <v>64.050984557215159</v>
      </c>
      <c r="AZ9" s="71" t="s">
        <v>489</v>
      </c>
      <c r="BB9" s="67">
        <v>5.8</v>
      </c>
      <c r="BC9" s="67">
        <v>2.7</v>
      </c>
      <c r="BD9" s="67">
        <v>5.0999999999999996</v>
      </c>
      <c r="BE9" s="67" t="s">
        <v>478</v>
      </c>
      <c r="BF9" s="67" t="s">
        <v>498</v>
      </c>
    </row>
    <row r="10" spans="1:58">
      <c r="B10" s="67">
        <v>5</v>
      </c>
      <c r="C10" s="67">
        <v>3.4</v>
      </c>
      <c r="D10" s="67">
        <v>1.5</v>
      </c>
      <c r="E10" s="67" t="s">
        <v>476</v>
      </c>
      <c r="G10" s="88"/>
      <c r="H10" s="88"/>
      <c r="I10" s="88"/>
      <c r="K10" s="67" t="s">
        <v>474</v>
      </c>
      <c r="L10" s="88"/>
      <c r="M10" s="88"/>
      <c r="N10" s="88"/>
      <c r="Q10" s="67" t="s">
        <v>474</v>
      </c>
      <c r="R10" s="88"/>
      <c r="S10" s="88"/>
      <c r="T10" s="88"/>
      <c r="W10" s="88"/>
      <c r="X10" s="88"/>
      <c r="Y10" s="88"/>
      <c r="AA10" s="88"/>
      <c r="AB10" s="88"/>
      <c r="AD10" s="67">
        <v>5.7</v>
      </c>
      <c r="AE10" s="67">
        <v>2.8</v>
      </c>
      <c r="AF10" s="67">
        <v>4.0999999999999996</v>
      </c>
      <c r="AG10" s="67" t="s">
        <v>477</v>
      </c>
      <c r="AI10" s="88"/>
      <c r="AJ10" s="88"/>
      <c r="AK10" s="88"/>
      <c r="AM10" s="88"/>
      <c r="AN10" s="88"/>
      <c r="AO10" s="88"/>
      <c r="AQ10" s="88"/>
      <c r="AR10" s="88"/>
      <c r="AS10" s="67" t="s">
        <v>487</v>
      </c>
      <c r="AV10" s="71">
        <v>334.86960581333943</v>
      </c>
      <c r="AW10" s="71" t="s">
        <v>486</v>
      </c>
      <c r="AX10" s="71"/>
      <c r="AY10" s="71">
        <v>0.18514171912803126</v>
      </c>
      <c r="AZ10" s="71" t="s">
        <v>477</v>
      </c>
      <c r="BB10" s="67">
        <v>4.9000000000000004</v>
      </c>
      <c r="BC10" s="67">
        <v>3</v>
      </c>
      <c r="BD10" s="67">
        <v>1.4</v>
      </c>
      <c r="BE10" s="67" t="s">
        <v>476</v>
      </c>
      <c r="BF10" s="71" t="s">
        <v>476</v>
      </c>
    </row>
    <row r="11" spans="1:58">
      <c r="B11" s="67">
        <v>4.4000000000000004</v>
      </c>
      <c r="C11" s="67">
        <v>2.9</v>
      </c>
      <c r="D11" s="67">
        <v>1.4</v>
      </c>
      <c r="E11" s="67" t="s">
        <v>476</v>
      </c>
      <c r="G11" s="88"/>
      <c r="H11" s="88"/>
      <c r="I11" s="88"/>
      <c r="K11" s="67" t="s">
        <v>475</v>
      </c>
      <c r="L11" s="88"/>
      <c r="M11" s="88"/>
      <c r="N11" s="88"/>
      <c r="Q11" s="67" t="s">
        <v>475</v>
      </c>
      <c r="R11" s="88"/>
      <c r="S11" s="88"/>
      <c r="T11" s="88"/>
      <c r="W11" s="88"/>
      <c r="X11" s="88"/>
      <c r="Y11" s="88"/>
      <c r="AA11" s="88"/>
      <c r="AB11" s="88"/>
      <c r="AD11" s="67">
        <v>6.3</v>
      </c>
      <c r="AE11" s="67">
        <v>3.3</v>
      </c>
      <c r="AF11" s="67">
        <v>6</v>
      </c>
      <c r="AG11" s="67" t="s">
        <v>478</v>
      </c>
      <c r="AI11" s="88"/>
      <c r="AJ11" s="88"/>
      <c r="AK11" s="88"/>
      <c r="AM11" s="88"/>
      <c r="AN11" s="88"/>
      <c r="AO11" s="88"/>
      <c r="AQ11" s="88"/>
      <c r="AR11" s="88"/>
      <c r="AS11" s="67" t="s">
        <v>487</v>
      </c>
      <c r="AV11" s="71">
        <v>941.92485689928026</v>
      </c>
      <c r="AW11" s="71" t="s">
        <v>486</v>
      </c>
      <c r="AX11" s="71"/>
      <c r="AY11" s="71">
        <v>21.238586011208515</v>
      </c>
      <c r="AZ11" s="71" t="s">
        <v>489</v>
      </c>
      <c r="BB11" s="67">
        <v>5.7</v>
      </c>
      <c r="BC11" s="67">
        <v>2.8</v>
      </c>
      <c r="BD11" s="67">
        <v>4.0999999999999996</v>
      </c>
      <c r="BE11" s="67" t="s">
        <v>477</v>
      </c>
      <c r="BF11" s="71" t="s">
        <v>477</v>
      </c>
    </row>
    <row r="12" spans="1:58">
      <c r="B12" s="67">
        <v>4.9000000000000004</v>
      </c>
      <c r="C12" s="67">
        <v>3.1</v>
      </c>
      <c r="D12" s="67">
        <v>1.5</v>
      </c>
      <c r="E12" s="67" t="s">
        <v>476</v>
      </c>
      <c r="G12" s="88"/>
      <c r="H12" s="88"/>
      <c r="I12" s="88"/>
      <c r="W12" s="88"/>
      <c r="X12" s="88"/>
      <c r="Y12" s="88"/>
      <c r="AA12" s="88"/>
      <c r="AB12" s="88"/>
      <c r="BB12" s="67">
        <v>6.3</v>
      </c>
      <c r="BC12" s="67">
        <v>3.3</v>
      </c>
      <c r="BD12" s="67">
        <v>6</v>
      </c>
      <c r="BE12" s="67" t="s">
        <v>478</v>
      </c>
      <c r="BF12" s="67" t="s">
        <v>498</v>
      </c>
    </row>
    <row r="13" spans="1:58">
      <c r="A13" s="67" t="s">
        <v>479</v>
      </c>
      <c r="B13" s="88"/>
      <c r="C13" s="88"/>
      <c r="D13" s="88"/>
      <c r="F13" s="67" t="s">
        <v>479</v>
      </c>
      <c r="G13" s="88"/>
      <c r="H13" s="88"/>
      <c r="I13" s="88"/>
    </row>
    <row r="14" spans="1:58">
      <c r="A14" s="67" t="s">
        <v>480</v>
      </c>
      <c r="B14" s="88"/>
      <c r="C14" s="88"/>
      <c r="D14" s="88"/>
      <c r="F14" s="67" t="s">
        <v>480</v>
      </c>
      <c r="G14" s="88"/>
      <c r="H14" s="88"/>
      <c r="I14" s="88"/>
    </row>
    <row r="15" spans="1:58">
      <c r="B15" s="106" t="s">
        <v>482</v>
      </c>
      <c r="C15" s="106"/>
      <c r="D15" s="106"/>
      <c r="E15" s="106"/>
      <c r="G15" s="106" t="s">
        <v>240</v>
      </c>
      <c r="H15" s="106"/>
      <c r="I15" s="106"/>
      <c r="W15" s="106" t="s">
        <v>242</v>
      </c>
      <c r="X15" s="106"/>
      <c r="Y15" s="106"/>
      <c r="AI15" s="106" t="s">
        <v>466</v>
      </c>
      <c r="AJ15" s="106"/>
      <c r="AK15" s="106"/>
      <c r="AM15" s="106" t="s">
        <v>242</v>
      </c>
      <c r="AN15" s="106"/>
      <c r="AO15" s="106"/>
    </row>
    <row r="16" spans="1:58">
      <c r="B16" s="67" t="s">
        <v>473</v>
      </c>
      <c r="C16" s="67" t="s">
        <v>474</v>
      </c>
      <c r="D16" s="67" t="s">
        <v>475</v>
      </c>
      <c r="E16" s="67" t="s">
        <v>471</v>
      </c>
      <c r="G16" s="67" t="s">
        <v>473</v>
      </c>
      <c r="H16" s="67" t="s">
        <v>474</v>
      </c>
      <c r="I16" s="67" t="s">
        <v>475</v>
      </c>
      <c r="K16" s="106" t="s">
        <v>483</v>
      </c>
      <c r="L16" s="106"/>
      <c r="M16" s="106"/>
      <c r="N16" s="106"/>
      <c r="O16" s="106"/>
      <c r="P16" s="106"/>
      <c r="Q16" s="106"/>
      <c r="R16" s="106"/>
      <c r="S16" s="106"/>
      <c r="T16" s="106"/>
      <c r="U16" s="106"/>
      <c r="W16" s="67" t="s">
        <v>473</v>
      </c>
      <c r="X16" s="67" t="s">
        <v>474</v>
      </c>
      <c r="Y16" s="67" t="s">
        <v>475</v>
      </c>
      <c r="AA16" s="68" t="s">
        <v>243</v>
      </c>
      <c r="AB16" s="66" t="s">
        <v>493</v>
      </c>
      <c r="AI16" s="67" t="s">
        <v>473</v>
      </c>
      <c r="AJ16" s="67" t="s">
        <v>474</v>
      </c>
      <c r="AK16" s="67" t="s">
        <v>475</v>
      </c>
      <c r="AM16" s="67" t="s">
        <v>473</v>
      </c>
      <c r="AN16" s="67" t="s">
        <v>474</v>
      </c>
      <c r="AO16" s="67" t="s">
        <v>475</v>
      </c>
      <c r="AQ16" s="68" t="s">
        <v>243</v>
      </c>
      <c r="AR16" s="66" t="s">
        <v>493</v>
      </c>
      <c r="AS16" s="69" t="s">
        <v>491</v>
      </c>
    </row>
    <row r="17" spans="1:45">
      <c r="B17" s="67">
        <v>7</v>
      </c>
      <c r="C17" s="67">
        <v>3.2</v>
      </c>
      <c r="D17" s="67">
        <v>4.7</v>
      </c>
      <c r="E17" s="67" t="s">
        <v>477</v>
      </c>
      <c r="G17" s="88"/>
      <c r="H17" s="88"/>
      <c r="I17" s="88"/>
      <c r="K17" s="67" t="s">
        <v>473</v>
      </c>
      <c r="L17" s="88"/>
      <c r="M17" s="88"/>
      <c r="N17" s="88"/>
      <c r="O17" s="88"/>
      <c r="P17" s="88"/>
      <c r="Q17" s="88"/>
      <c r="R17" s="88"/>
      <c r="S17" s="88"/>
      <c r="T17" s="88"/>
      <c r="U17" s="88"/>
      <c r="W17" s="88"/>
      <c r="X17" s="88"/>
      <c r="Y17" s="88"/>
      <c r="AA17" s="88"/>
      <c r="AB17" s="88"/>
      <c r="AI17" s="88"/>
      <c r="AJ17" s="88"/>
      <c r="AK17" s="88"/>
      <c r="AM17" s="88"/>
      <c r="AN17" s="88"/>
      <c r="AO17" s="88"/>
      <c r="AQ17" s="88"/>
      <c r="AR17" s="88"/>
      <c r="AS17" s="67" t="s">
        <v>490</v>
      </c>
    </row>
    <row r="18" spans="1:45">
      <c r="B18" s="67">
        <v>6.4</v>
      </c>
      <c r="C18" s="67">
        <v>3.2</v>
      </c>
      <c r="D18" s="67">
        <v>4.5</v>
      </c>
      <c r="E18" s="67" t="s">
        <v>477</v>
      </c>
      <c r="G18" s="88"/>
      <c r="H18" s="88"/>
      <c r="I18" s="88"/>
      <c r="K18" s="67" t="s">
        <v>474</v>
      </c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  <c r="X18" s="88"/>
      <c r="Y18" s="88"/>
      <c r="AA18" s="88"/>
      <c r="AB18" s="88"/>
      <c r="AI18" s="88"/>
      <c r="AJ18" s="88"/>
      <c r="AK18" s="88"/>
      <c r="AM18" s="88"/>
      <c r="AN18" s="88"/>
      <c r="AO18" s="88"/>
      <c r="AQ18" s="88"/>
      <c r="AR18" s="88"/>
      <c r="AS18" s="67" t="s">
        <v>490</v>
      </c>
    </row>
    <row r="19" spans="1:45">
      <c r="B19" s="67">
        <v>6.9</v>
      </c>
      <c r="C19" s="67">
        <v>3.1</v>
      </c>
      <c r="D19" s="67">
        <v>4.9000000000000004</v>
      </c>
      <c r="E19" s="67" t="s">
        <v>477</v>
      </c>
      <c r="G19" s="88"/>
      <c r="H19" s="88"/>
      <c r="I19" s="88"/>
      <c r="K19" s="67" t="s">
        <v>475</v>
      </c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  <c r="X19" s="88"/>
      <c r="Y19" s="88"/>
      <c r="AA19" s="88"/>
      <c r="AB19" s="88"/>
      <c r="AI19" s="88"/>
      <c r="AJ19" s="88"/>
      <c r="AK19" s="88"/>
      <c r="AM19" s="88"/>
      <c r="AN19" s="88"/>
      <c r="AO19" s="88"/>
      <c r="AQ19" s="88"/>
      <c r="AR19" s="88"/>
      <c r="AS19" s="67" t="s">
        <v>488</v>
      </c>
    </row>
    <row r="20" spans="1:45">
      <c r="B20" s="67">
        <v>5.5</v>
      </c>
      <c r="C20" s="67">
        <v>2.2999999999999998</v>
      </c>
      <c r="D20" s="67">
        <v>4</v>
      </c>
      <c r="E20" s="67" t="s">
        <v>477</v>
      </c>
      <c r="G20" s="88"/>
      <c r="H20" s="88"/>
      <c r="I20" s="88"/>
      <c r="W20" s="88"/>
      <c r="X20" s="88"/>
      <c r="Y20" s="88"/>
      <c r="AA20" s="88"/>
      <c r="AB20" s="88"/>
      <c r="AI20" s="88"/>
      <c r="AJ20" s="88"/>
      <c r="AK20" s="88"/>
      <c r="AM20" s="88"/>
      <c r="AN20" s="88"/>
      <c r="AO20" s="88"/>
      <c r="AQ20" s="88"/>
      <c r="AR20" s="88"/>
      <c r="AS20" s="67" t="s">
        <v>488</v>
      </c>
    </row>
    <row r="21" spans="1:45">
      <c r="B21" s="67">
        <v>6.5</v>
      </c>
      <c r="C21" s="67">
        <v>2.8</v>
      </c>
      <c r="D21" s="67">
        <v>4.5999999999999996</v>
      </c>
      <c r="E21" s="67" t="s">
        <v>477</v>
      </c>
      <c r="G21" s="88"/>
      <c r="H21" s="88"/>
      <c r="I21" s="88"/>
      <c r="K21" s="106" t="s">
        <v>464</v>
      </c>
      <c r="L21" s="106"/>
      <c r="M21" s="106"/>
      <c r="N21" s="106"/>
      <c r="Q21" s="106" t="s">
        <v>484</v>
      </c>
      <c r="R21" s="106"/>
      <c r="S21" s="106"/>
      <c r="T21" s="106"/>
      <c r="W21" s="88"/>
      <c r="X21" s="88"/>
      <c r="Y21" s="88"/>
      <c r="AA21" s="88"/>
      <c r="AB21" s="88"/>
      <c r="AI21" s="88"/>
      <c r="AJ21" s="88"/>
      <c r="AK21" s="88"/>
      <c r="AM21" s="88"/>
      <c r="AN21" s="88"/>
      <c r="AO21" s="88"/>
      <c r="AQ21" s="88"/>
      <c r="AR21" s="88"/>
      <c r="AS21" s="67" t="s">
        <v>490</v>
      </c>
    </row>
    <row r="22" spans="1:45">
      <c r="B22" s="67">
        <v>5.7</v>
      </c>
      <c r="C22" s="67">
        <v>2.8</v>
      </c>
      <c r="D22" s="67">
        <v>4.5</v>
      </c>
      <c r="E22" s="67" t="s">
        <v>477</v>
      </c>
      <c r="G22" s="88"/>
      <c r="H22" s="88"/>
      <c r="I22" s="88"/>
      <c r="L22" s="67" t="s">
        <v>473</v>
      </c>
      <c r="M22" s="67" t="s">
        <v>474</v>
      </c>
      <c r="N22" s="67" t="s">
        <v>475</v>
      </c>
      <c r="R22" s="67" t="s">
        <v>473</v>
      </c>
      <c r="S22" s="67" t="s">
        <v>474</v>
      </c>
      <c r="T22" s="67" t="s">
        <v>475</v>
      </c>
      <c r="W22" s="88"/>
      <c r="X22" s="88"/>
      <c r="Y22" s="88"/>
      <c r="AA22" s="88"/>
      <c r="AB22" s="88"/>
      <c r="AI22" s="88"/>
      <c r="AJ22" s="88"/>
      <c r="AK22" s="88"/>
      <c r="AM22" s="88"/>
      <c r="AN22" s="88"/>
      <c r="AO22" s="88"/>
      <c r="AQ22" s="88"/>
      <c r="AR22" s="88"/>
      <c r="AS22" s="67" t="s">
        <v>490</v>
      </c>
    </row>
    <row r="23" spans="1:45">
      <c r="B23" s="67">
        <v>6.3</v>
      </c>
      <c r="C23" s="67">
        <v>3.3</v>
      </c>
      <c r="D23" s="67">
        <v>4.7</v>
      </c>
      <c r="E23" s="67" t="s">
        <v>477</v>
      </c>
      <c r="G23" s="88"/>
      <c r="H23" s="88"/>
      <c r="I23" s="88"/>
      <c r="K23" s="67" t="s">
        <v>473</v>
      </c>
      <c r="L23" s="88"/>
      <c r="M23" s="88"/>
      <c r="N23" s="88"/>
      <c r="Q23" s="67" t="s">
        <v>473</v>
      </c>
      <c r="R23" s="88"/>
      <c r="S23" s="88"/>
      <c r="T23" s="88"/>
      <c r="W23" s="88"/>
      <c r="X23" s="88"/>
      <c r="Y23" s="88"/>
      <c r="AA23" s="88"/>
      <c r="AB23" s="88"/>
      <c r="AI23" s="88"/>
      <c r="AJ23" s="88"/>
      <c r="AK23" s="88"/>
      <c r="AM23" s="88"/>
      <c r="AN23" s="88"/>
      <c r="AO23" s="88"/>
      <c r="AQ23" s="88"/>
      <c r="AR23" s="88"/>
      <c r="AS23" s="67" t="s">
        <v>490</v>
      </c>
    </row>
    <row r="24" spans="1:45">
      <c r="B24" s="67">
        <v>4.9000000000000004</v>
      </c>
      <c r="C24" s="67">
        <v>2.4</v>
      </c>
      <c r="D24" s="67">
        <v>3.3</v>
      </c>
      <c r="E24" s="67" t="s">
        <v>477</v>
      </c>
      <c r="G24" s="88"/>
      <c r="H24" s="88"/>
      <c r="I24" s="88"/>
      <c r="K24" s="67" t="s">
        <v>474</v>
      </c>
      <c r="L24" s="88"/>
      <c r="M24" s="88"/>
      <c r="N24" s="88"/>
      <c r="Q24" s="67" t="s">
        <v>474</v>
      </c>
      <c r="R24" s="88"/>
      <c r="S24" s="88"/>
      <c r="T24" s="88"/>
      <c r="W24" s="88"/>
      <c r="X24" s="88"/>
      <c r="Y24" s="88"/>
      <c r="AA24" s="88"/>
      <c r="AB24" s="88"/>
      <c r="AI24" s="88"/>
      <c r="AJ24" s="88"/>
      <c r="AK24" s="88"/>
      <c r="AM24" s="88"/>
      <c r="AN24" s="88"/>
      <c r="AO24" s="88"/>
      <c r="AQ24" s="88"/>
      <c r="AR24" s="88"/>
      <c r="AS24" s="67" t="s">
        <v>488</v>
      </c>
    </row>
    <row r="25" spans="1:45">
      <c r="B25" s="67">
        <v>6.6</v>
      </c>
      <c r="C25" s="67">
        <v>2.9</v>
      </c>
      <c r="D25" s="67">
        <v>4.5999999999999996</v>
      </c>
      <c r="E25" s="67" t="s">
        <v>477</v>
      </c>
      <c r="G25" s="88"/>
      <c r="H25" s="88"/>
      <c r="I25" s="88"/>
      <c r="K25" s="67" t="s">
        <v>475</v>
      </c>
      <c r="L25" s="88"/>
      <c r="M25" s="88"/>
      <c r="N25" s="88"/>
      <c r="Q25" s="67" t="s">
        <v>475</v>
      </c>
      <c r="R25" s="88"/>
      <c r="S25" s="88"/>
      <c r="T25" s="88"/>
      <c r="W25" s="88"/>
      <c r="X25" s="88"/>
      <c r="Y25" s="88"/>
      <c r="AA25" s="88"/>
      <c r="AB25" s="88"/>
      <c r="AI25" s="88"/>
      <c r="AJ25" s="88"/>
      <c r="AK25" s="88"/>
      <c r="AM25" s="88"/>
      <c r="AN25" s="88"/>
      <c r="AO25" s="88"/>
      <c r="AQ25" s="88"/>
      <c r="AR25" s="88"/>
      <c r="AS25" s="67" t="s">
        <v>490</v>
      </c>
    </row>
    <row r="26" spans="1:45">
      <c r="B26" s="67">
        <v>5.2</v>
      </c>
      <c r="C26" s="67">
        <v>2.7</v>
      </c>
      <c r="D26" s="67">
        <v>3.9</v>
      </c>
      <c r="E26" s="67" t="s">
        <v>477</v>
      </c>
      <c r="G26" s="88"/>
      <c r="H26" s="88"/>
      <c r="I26" s="88"/>
      <c r="W26" s="88"/>
      <c r="X26" s="88"/>
      <c r="Y26" s="88"/>
      <c r="AA26" s="88"/>
      <c r="AB26" s="88"/>
    </row>
    <row r="27" spans="1:45">
      <c r="A27" s="67" t="s">
        <v>479</v>
      </c>
      <c r="B27" s="88"/>
      <c r="C27" s="88"/>
      <c r="D27" s="88"/>
      <c r="F27" s="67" t="s">
        <v>479</v>
      </c>
      <c r="G27" s="88"/>
      <c r="H27" s="88"/>
      <c r="I27" s="88"/>
    </row>
    <row r="28" spans="1:45" ht="18" thickBot="1">
      <c r="A28" s="67" t="s">
        <v>480</v>
      </c>
      <c r="B28" s="88"/>
      <c r="C28" s="88"/>
      <c r="D28" s="88"/>
      <c r="F28" s="67" t="s">
        <v>480</v>
      </c>
      <c r="G28" s="88"/>
      <c r="H28" s="88"/>
      <c r="I28" s="88"/>
    </row>
    <row r="29" spans="1:45" ht="18" thickBot="1">
      <c r="AF29" s="70"/>
      <c r="AG29" s="70"/>
      <c r="AS29" s="70"/>
    </row>
  </sheetData>
  <mergeCells count="17">
    <mergeCell ref="G1:I1"/>
    <mergeCell ref="B1:E1"/>
    <mergeCell ref="B15:E15"/>
    <mergeCell ref="G15:I15"/>
    <mergeCell ref="K2:U2"/>
    <mergeCell ref="K16:U16"/>
    <mergeCell ref="K7:N7"/>
    <mergeCell ref="Q7:T7"/>
    <mergeCell ref="K21:N21"/>
    <mergeCell ref="Q21:T21"/>
    <mergeCell ref="W1:Y1"/>
    <mergeCell ref="W15:Y15"/>
    <mergeCell ref="AD1:AG1"/>
    <mergeCell ref="AI1:AK1"/>
    <mergeCell ref="AM1:AO1"/>
    <mergeCell ref="AI15:AK15"/>
    <mergeCell ref="AM15:AO1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"/>
  <sheetViews>
    <sheetView zoomScale="70" zoomScaleNormal="70" workbookViewId="0">
      <selection activeCell="N15" sqref="N15:N27"/>
    </sheetView>
  </sheetViews>
  <sheetFormatPr defaultRowHeight="17.399999999999999"/>
  <cols>
    <col min="1" max="1" width="9.3984375" style="5" bestFit="1" customWidth="1"/>
    <col min="2" max="2" width="20" style="5" bestFit="1" customWidth="1"/>
    <col min="3" max="3" width="13.19921875" style="5" bestFit="1" customWidth="1"/>
    <col min="4" max="4" width="4.69921875" style="5" customWidth="1"/>
    <col min="5" max="5" width="12.796875" style="5" customWidth="1"/>
    <col min="6" max="6" width="23.69921875" style="5" bestFit="1" customWidth="1"/>
    <col min="7" max="7" width="20.19921875" style="5" customWidth="1"/>
    <col min="8" max="8" width="30.5" style="5" bestFit="1" customWidth="1"/>
    <col min="9" max="9" width="14.5" style="5" customWidth="1"/>
    <col min="10" max="10" width="20" style="5" bestFit="1" customWidth="1"/>
    <col min="11" max="11" width="14.5" style="5" customWidth="1"/>
    <col min="12" max="12" width="8.796875" style="5"/>
    <col min="13" max="13" width="11.8984375" style="5" bestFit="1" customWidth="1"/>
    <col min="14" max="14" width="20" style="5" bestFit="1" customWidth="1"/>
    <col min="15" max="15" width="12.796875" style="5" bestFit="1" customWidth="1"/>
    <col min="16" max="16384" width="8.796875" style="5"/>
  </cols>
  <sheetData>
    <row r="1" spans="1:15">
      <c r="B1" s="5" t="s">
        <v>509</v>
      </c>
      <c r="C1" s="5" t="s">
        <v>245</v>
      </c>
      <c r="F1" s="5" t="s">
        <v>515</v>
      </c>
      <c r="G1" s="5" t="s">
        <v>246</v>
      </c>
      <c r="J1" s="5" t="s">
        <v>509</v>
      </c>
      <c r="K1" s="5" t="s">
        <v>245</v>
      </c>
      <c r="N1" s="5" t="s">
        <v>509</v>
      </c>
      <c r="O1" s="5" t="s">
        <v>245</v>
      </c>
    </row>
    <row r="2" spans="1:15">
      <c r="B2" s="5">
        <v>557</v>
      </c>
      <c r="C2" s="5">
        <v>75.73</v>
      </c>
      <c r="F2" s="84"/>
      <c r="G2" s="84"/>
      <c r="H2" s="19"/>
      <c r="J2" s="5">
        <v>557</v>
      </c>
      <c r="K2" s="5">
        <v>75.73</v>
      </c>
      <c r="N2" s="5">
        <v>557</v>
      </c>
      <c r="O2" s="5">
        <v>75.73</v>
      </c>
    </row>
    <row r="3" spans="1:15">
      <c r="B3" s="5">
        <v>149</v>
      </c>
      <c r="C3" s="5">
        <v>35.11</v>
      </c>
      <c r="F3" s="84"/>
      <c r="G3" s="84"/>
      <c r="H3" s="19"/>
      <c r="J3" s="5">
        <v>149</v>
      </c>
      <c r="K3" s="5">
        <v>35.11</v>
      </c>
      <c r="N3" s="5">
        <v>149</v>
      </c>
      <c r="O3" s="5">
        <v>35.11</v>
      </c>
    </row>
    <row r="4" spans="1:15">
      <c r="B4" s="5">
        <v>326</v>
      </c>
      <c r="C4" s="5">
        <v>57.24</v>
      </c>
      <c r="F4" s="84"/>
      <c r="G4" s="84"/>
      <c r="H4" s="19"/>
      <c r="J4" s="5">
        <v>326</v>
      </c>
      <c r="K4" s="5">
        <v>57.24</v>
      </c>
      <c r="N4" s="5">
        <v>326</v>
      </c>
      <c r="O4" s="5">
        <v>57.24</v>
      </c>
    </row>
    <row r="5" spans="1:15">
      <c r="B5" s="5">
        <v>486</v>
      </c>
      <c r="C5" s="5">
        <v>94.62</v>
      </c>
      <c r="F5" s="84"/>
      <c r="G5" s="84"/>
      <c r="H5" s="19"/>
      <c r="J5" s="5">
        <v>486</v>
      </c>
      <c r="K5" s="5">
        <v>94.62</v>
      </c>
      <c r="N5" s="5">
        <v>486</v>
      </c>
      <c r="O5" s="5">
        <v>94.62</v>
      </c>
    </row>
    <row r="6" spans="1:15">
      <c r="B6" s="5">
        <v>282</v>
      </c>
      <c r="C6" s="5">
        <v>64.349999999999994</v>
      </c>
      <c r="F6" s="84"/>
      <c r="G6" s="84"/>
      <c r="H6" s="19"/>
      <c r="J6" s="5">
        <v>282</v>
      </c>
      <c r="K6" s="5">
        <v>64.349999999999994</v>
      </c>
      <c r="N6" s="5">
        <v>282</v>
      </c>
      <c r="O6" s="5">
        <v>64.349999999999994</v>
      </c>
    </row>
    <row r="7" spans="1:15">
      <c r="B7" s="5">
        <v>547</v>
      </c>
      <c r="C7" s="5">
        <v>73.22</v>
      </c>
      <c r="F7" s="84"/>
      <c r="G7" s="84"/>
      <c r="H7" s="19"/>
      <c r="J7" s="5">
        <v>547</v>
      </c>
      <c r="K7" s="5">
        <v>73.22</v>
      </c>
      <c r="N7" s="5">
        <v>547</v>
      </c>
      <c r="O7" s="5">
        <v>73.22</v>
      </c>
    </row>
    <row r="8" spans="1:15">
      <c r="B8" s="5">
        <v>538</v>
      </c>
      <c r="C8" s="5">
        <v>72.930000000000007</v>
      </c>
      <c r="F8" s="84"/>
      <c r="G8" s="84"/>
      <c r="H8" s="19"/>
      <c r="J8" s="5">
        <v>538</v>
      </c>
      <c r="K8" s="5">
        <v>72.930000000000007</v>
      </c>
      <c r="N8" s="5">
        <v>538</v>
      </c>
      <c r="O8" s="5">
        <v>72.930000000000007</v>
      </c>
    </row>
    <row r="9" spans="1:15">
      <c r="B9" s="5">
        <v>393</v>
      </c>
      <c r="C9" s="5">
        <v>65.52</v>
      </c>
      <c r="F9" s="84"/>
      <c r="G9" s="84"/>
      <c r="H9" s="19"/>
      <c r="J9" s="5">
        <v>393</v>
      </c>
      <c r="K9" s="5">
        <v>65.52</v>
      </c>
      <c r="N9" s="5">
        <v>393</v>
      </c>
      <c r="O9" s="5">
        <v>65.52</v>
      </c>
    </row>
    <row r="10" spans="1:15">
      <c r="B10" s="5">
        <v>484</v>
      </c>
      <c r="C10" s="5">
        <v>80.86</v>
      </c>
      <c r="F10" s="84"/>
      <c r="G10" s="84"/>
      <c r="H10" s="19"/>
      <c r="J10" s="5">
        <v>484</v>
      </c>
      <c r="K10" s="5">
        <v>80.86</v>
      </c>
      <c r="N10" s="5">
        <v>484</v>
      </c>
      <c r="O10" s="5">
        <v>80.86</v>
      </c>
    </row>
    <row r="11" spans="1:15">
      <c r="B11" s="5">
        <v>253</v>
      </c>
      <c r="C11" s="5">
        <v>61.83</v>
      </c>
      <c r="F11" s="84"/>
      <c r="G11" s="84"/>
      <c r="H11" s="19"/>
      <c r="J11" s="5">
        <v>253</v>
      </c>
      <c r="K11" s="5">
        <v>61.83</v>
      </c>
      <c r="N11" s="5">
        <v>253</v>
      </c>
      <c r="O11" s="5">
        <v>61.83</v>
      </c>
    </row>
    <row r="12" spans="1:15">
      <c r="B12" s="5">
        <v>270</v>
      </c>
      <c r="C12" s="5">
        <v>47.83</v>
      </c>
      <c r="F12" s="84"/>
      <c r="G12" s="84"/>
      <c r="H12" s="19"/>
      <c r="J12" s="5">
        <v>270</v>
      </c>
      <c r="K12" s="5">
        <v>47.83</v>
      </c>
      <c r="N12" s="5">
        <v>270</v>
      </c>
      <c r="O12" s="5">
        <v>47.83</v>
      </c>
    </row>
    <row r="13" spans="1:15">
      <c r="B13" s="5">
        <v>506</v>
      </c>
      <c r="C13" s="5">
        <v>59.87</v>
      </c>
      <c r="F13" s="84"/>
      <c r="G13" s="84"/>
      <c r="H13" s="19"/>
      <c r="J13" s="5">
        <v>506</v>
      </c>
      <c r="K13" s="5">
        <v>59.87</v>
      </c>
      <c r="N13" s="5">
        <v>506</v>
      </c>
      <c r="O13" s="5">
        <v>59.87</v>
      </c>
    </row>
    <row r="14" spans="1:15">
      <c r="F14" s="19"/>
      <c r="G14" s="19"/>
      <c r="H14" s="19"/>
    </row>
    <row r="15" spans="1:15">
      <c r="A15" s="5" t="s">
        <v>247</v>
      </c>
      <c r="B15" s="84"/>
      <c r="C15" s="84"/>
      <c r="D15" s="19"/>
      <c r="F15" s="5" t="s">
        <v>503</v>
      </c>
      <c r="G15" s="84"/>
      <c r="I15" s="5" t="s">
        <v>499</v>
      </c>
      <c r="J15" s="84"/>
      <c r="K15" s="19"/>
      <c r="M15" s="5" t="s">
        <v>510</v>
      </c>
      <c r="N15" s="84"/>
      <c r="O15" s="19"/>
    </row>
    <row r="16" spans="1:15">
      <c r="A16" s="5" t="s">
        <v>248</v>
      </c>
      <c r="B16" s="84"/>
      <c r="C16" s="84"/>
      <c r="D16" s="19"/>
      <c r="I16" s="5" t="s">
        <v>500</v>
      </c>
      <c r="J16" s="84"/>
      <c r="K16" s="19"/>
      <c r="M16" s="5" t="s">
        <v>511</v>
      </c>
      <c r="N16" s="84"/>
      <c r="O16" s="19"/>
    </row>
    <row r="17" spans="1:15">
      <c r="A17" s="5" t="s">
        <v>249</v>
      </c>
      <c r="B17" s="84"/>
      <c r="C17" s="19"/>
      <c r="D17" s="19"/>
      <c r="F17" s="5" t="s">
        <v>501</v>
      </c>
      <c r="G17" s="90"/>
      <c r="K17" s="19"/>
      <c r="N17" s="19"/>
      <c r="O17" s="19"/>
    </row>
    <row r="18" spans="1:15">
      <c r="F18" s="5" t="s">
        <v>252</v>
      </c>
      <c r="G18" s="90"/>
      <c r="I18" s="5" t="s">
        <v>250</v>
      </c>
      <c r="J18" s="84"/>
      <c r="M18" s="5" t="s">
        <v>512</v>
      </c>
      <c r="N18" s="84"/>
    </row>
    <row r="19" spans="1:15">
      <c r="A19" s="5" t="s">
        <v>250</v>
      </c>
      <c r="B19" s="84"/>
      <c r="F19" s="19" t="s">
        <v>502</v>
      </c>
      <c r="G19" s="90"/>
      <c r="H19" s="72"/>
      <c r="J19" s="19"/>
      <c r="N19" s="19"/>
    </row>
    <row r="20" spans="1:15">
      <c r="A20" s="5" t="s">
        <v>251</v>
      </c>
      <c r="B20" s="84"/>
      <c r="H20" s="19"/>
      <c r="J20" s="19"/>
      <c r="M20" s="5" t="s">
        <v>513</v>
      </c>
      <c r="N20" s="84"/>
    </row>
    <row r="21" spans="1:15">
      <c r="H21" s="19"/>
      <c r="M21" s="5" t="s">
        <v>514</v>
      </c>
      <c r="N21" s="89"/>
    </row>
    <row r="22" spans="1:15">
      <c r="B22" s="19"/>
      <c r="C22" s="19"/>
      <c r="H22" s="19"/>
    </row>
    <row r="23" spans="1:15">
      <c r="B23" s="19"/>
      <c r="C23" s="19"/>
      <c r="F23" s="19"/>
      <c r="G23" s="19"/>
      <c r="H23" s="73"/>
    </row>
    <row r="24" spans="1:15">
      <c r="B24" s="19"/>
      <c r="C24" s="19"/>
      <c r="F24" s="19"/>
      <c r="G24" s="19"/>
    </row>
    <row r="25" spans="1:15">
      <c r="B25" s="19"/>
      <c r="C25" s="19"/>
      <c r="F25" s="19"/>
      <c r="G25" s="19"/>
    </row>
    <row r="26" spans="1:15">
      <c r="B26" s="19"/>
      <c r="C26" s="19"/>
      <c r="F26" s="19"/>
      <c r="G26" s="19"/>
    </row>
    <row r="27" spans="1:15">
      <c r="B27" s="19"/>
      <c r="C27" s="19"/>
      <c r="F27" s="19"/>
      <c r="G27" s="19"/>
    </row>
    <row r="28" spans="1:15">
      <c r="B28" s="19"/>
      <c r="C28" s="19"/>
      <c r="F28" s="19"/>
      <c r="G28" s="19"/>
    </row>
    <row r="29" spans="1:15">
      <c r="B29" s="19"/>
      <c r="C29" s="19"/>
      <c r="F29" s="19"/>
      <c r="G29" s="19"/>
    </row>
    <row r="30" spans="1:15">
      <c r="B30" s="19"/>
      <c r="C30" s="19"/>
      <c r="F30" s="19"/>
      <c r="G30" s="19"/>
    </row>
    <row r="31" spans="1:15">
      <c r="B31" s="19"/>
      <c r="C31" s="19"/>
      <c r="F31" s="19"/>
      <c r="G31" s="19"/>
    </row>
    <row r="32" spans="1:15">
      <c r="B32" s="19"/>
      <c r="C32" s="19"/>
      <c r="F32" s="19"/>
      <c r="G32" s="19"/>
    </row>
    <row r="33" spans="2:7">
      <c r="B33" s="19"/>
      <c r="C33" s="19"/>
      <c r="F33" s="19"/>
      <c r="G33" s="19"/>
    </row>
    <row r="34" spans="2:7">
      <c r="B34" s="19"/>
      <c r="C34" s="19"/>
      <c r="F34" s="19"/>
      <c r="G34" s="19"/>
    </row>
    <row r="36" spans="2:7">
      <c r="F36" s="19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33"/>
  <sheetViews>
    <sheetView topLeftCell="J1" zoomScale="55" zoomScaleNormal="55" workbookViewId="0">
      <selection activeCell="AQ23" sqref="AQ23:AQ30"/>
    </sheetView>
  </sheetViews>
  <sheetFormatPr defaultRowHeight="17.399999999999999"/>
  <cols>
    <col min="1" max="1" width="9.09765625" style="6" bestFit="1" customWidth="1"/>
    <col min="2" max="2" width="20.09765625" style="6" bestFit="1" customWidth="1"/>
    <col min="3" max="3" width="9.5" style="6" bestFit="1" customWidth="1"/>
    <col min="4" max="4" width="9.796875" style="6" bestFit="1" customWidth="1"/>
    <col min="5" max="5" width="18.09765625" style="6" bestFit="1" customWidth="1"/>
    <col min="6" max="6" width="6.796875" style="6" bestFit="1" customWidth="1"/>
    <col min="7" max="7" width="6.296875" style="6" customWidth="1"/>
    <col min="8" max="11" width="13.796875" style="6" bestFit="1" customWidth="1"/>
    <col min="12" max="12" width="6.69921875" style="6" bestFit="1" customWidth="1"/>
    <col min="13" max="13" width="10.69921875" style="6" bestFit="1" customWidth="1"/>
    <col min="14" max="15" width="6.69921875" style="6" bestFit="1" customWidth="1"/>
    <col min="16" max="16" width="9.5" style="6" bestFit="1" customWidth="1"/>
    <col min="17" max="20" width="6.69921875" style="6" bestFit="1" customWidth="1"/>
    <col min="21" max="21" width="4.69921875" style="6" bestFit="1" customWidth="1"/>
    <col min="22" max="22" width="9.09765625" style="6" bestFit="1" customWidth="1"/>
    <col min="23" max="23" width="20.09765625" style="6" bestFit="1" customWidth="1"/>
    <col min="24" max="24" width="9.5" style="6" bestFit="1" customWidth="1"/>
    <col min="25" max="25" width="9.796875" style="6" bestFit="1" customWidth="1"/>
    <col min="26" max="26" width="18.09765625" style="6" bestFit="1" customWidth="1"/>
    <col min="27" max="27" width="24.09765625" style="6" bestFit="1" customWidth="1"/>
    <col min="28" max="29" width="7.5" style="6" bestFit="1" customWidth="1"/>
    <col min="30" max="30" width="6.796875" style="6" bestFit="1" customWidth="1"/>
    <col min="31" max="32" width="8.796875" style="6"/>
    <col min="33" max="33" width="7.796875" style="6" bestFit="1" customWidth="1"/>
    <col min="34" max="36" width="9.796875" style="6" bestFit="1" customWidth="1"/>
    <col min="37" max="39" width="7.796875" style="6" bestFit="1" customWidth="1"/>
    <col min="40" max="40" width="6.796875" style="6" bestFit="1" customWidth="1"/>
    <col min="41" max="41" width="11" style="6" bestFit="1" customWidth="1"/>
    <col min="42" max="42" width="6.796875" style="6" bestFit="1" customWidth="1"/>
    <col min="43" max="43" width="9.5" style="6" bestFit="1" customWidth="1"/>
    <col min="44" max="44" width="6.796875" style="6" bestFit="1" customWidth="1"/>
    <col min="45" max="16384" width="8.796875" style="6"/>
  </cols>
  <sheetData>
    <row r="1" spans="1:44">
      <c r="C1" s="18" t="s">
        <v>253</v>
      </c>
      <c r="D1" s="18" t="s">
        <v>254</v>
      </c>
      <c r="E1" s="18" t="s">
        <v>255</v>
      </c>
      <c r="F1" s="18" t="s">
        <v>256</v>
      </c>
      <c r="X1" s="75" t="s">
        <v>253</v>
      </c>
      <c r="Y1" s="75" t="s">
        <v>254</v>
      </c>
      <c r="Z1" s="75" t="s">
        <v>255</v>
      </c>
      <c r="AA1" s="75" t="s">
        <v>256</v>
      </c>
      <c r="AB1" s="79" t="s">
        <v>532</v>
      </c>
      <c r="AC1" s="79" t="s">
        <v>533</v>
      </c>
      <c r="AD1" s="79" t="s">
        <v>534</v>
      </c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</row>
    <row r="2" spans="1:44">
      <c r="C2" s="20"/>
      <c r="D2" s="20"/>
      <c r="E2" s="20"/>
      <c r="F2" s="20"/>
      <c r="X2" s="20"/>
      <c r="Y2" s="20"/>
      <c r="Z2" s="20"/>
      <c r="AA2" s="20"/>
      <c r="AB2" s="20"/>
      <c r="AC2" s="20"/>
      <c r="AD2" s="20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</row>
    <row r="3" spans="1:44">
      <c r="A3" s="18" t="s">
        <v>257</v>
      </c>
      <c r="B3" s="18" t="s">
        <v>258</v>
      </c>
      <c r="C3" s="107" t="s">
        <v>259</v>
      </c>
      <c r="D3" s="107"/>
      <c r="E3" s="107"/>
      <c r="F3" s="107"/>
      <c r="H3" s="107" t="s">
        <v>260</v>
      </c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V3" s="75" t="s">
        <v>516</v>
      </c>
      <c r="W3" s="75" t="s">
        <v>517</v>
      </c>
      <c r="X3" s="107" t="s">
        <v>518</v>
      </c>
      <c r="Y3" s="107"/>
      <c r="Z3" s="107"/>
      <c r="AA3" s="107"/>
      <c r="AB3" s="107"/>
      <c r="AC3" s="107"/>
      <c r="AD3" s="10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</row>
    <row r="4" spans="1:44">
      <c r="A4" s="6" t="s">
        <v>257</v>
      </c>
      <c r="B4" s="6" t="s">
        <v>509</v>
      </c>
      <c r="C4" s="6" t="s">
        <v>261</v>
      </c>
      <c r="D4" s="6" t="s">
        <v>262</v>
      </c>
      <c r="E4" s="6" t="s">
        <v>263</v>
      </c>
      <c r="F4" s="6" t="s">
        <v>224</v>
      </c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V4" s="6" t="s">
        <v>516</v>
      </c>
      <c r="W4" s="6" t="s">
        <v>550</v>
      </c>
      <c r="X4" s="6" t="s">
        <v>519</v>
      </c>
      <c r="Y4" s="6" t="s">
        <v>520</v>
      </c>
      <c r="Z4" s="6" t="s">
        <v>521</v>
      </c>
      <c r="AA4" s="6" t="s">
        <v>522</v>
      </c>
      <c r="AB4" s="6" t="s">
        <v>523</v>
      </c>
      <c r="AC4" s="6" t="s">
        <v>524</v>
      </c>
      <c r="AD4" s="6" t="s">
        <v>525</v>
      </c>
      <c r="AG4" s="106" t="s">
        <v>526</v>
      </c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</row>
    <row r="5" spans="1:44">
      <c r="A5" s="91"/>
      <c r="B5" s="6">
        <v>557</v>
      </c>
      <c r="C5" s="6">
        <v>1</v>
      </c>
      <c r="D5" s="6">
        <v>75.73</v>
      </c>
      <c r="E5" s="6">
        <v>36.200000000000003</v>
      </c>
      <c r="F5" s="6">
        <v>32.6</v>
      </c>
      <c r="G5" s="7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V5" s="22"/>
      <c r="W5" s="6">
        <v>557</v>
      </c>
      <c r="X5" s="6">
        <v>1</v>
      </c>
      <c r="Y5" s="6">
        <v>75.73</v>
      </c>
      <c r="Z5" s="6">
        <v>36.200000000000003</v>
      </c>
      <c r="AA5" s="6">
        <v>32.6</v>
      </c>
      <c r="AB5" s="76">
        <v>1</v>
      </c>
      <c r="AC5" s="6">
        <v>0</v>
      </c>
      <c r="AD5" s="6">
        <v>0</v>
      </c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</row>
    <row r="6" spans="1:44">
      <c r="A6" s="91"/>
      <c r="B6" s="6">
        <v>149</v>
      </c>
      <c r="C6" s="6">
        <v>1</v>
      </c>
      <c r="D6" s="6">
        <v>35.11</v>
      </c>
      <c r="E6" s="6">
        <v>65.599999999999994</v>
      </c>
      <c r="F6" s="6">
        <v>29.2</v>
      </c>
      <c r="G6" s="7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V6" s="22"/>
      <c r="W6" s="6">
        <v>149</v>
      </c>
      <c r="X6" s="6">
        <v>1</v>
      </c>
      <c r="Y6" s="6">
        <v>35.11</v>
      </c>
      <c r="Z6" s="6">
        <v>65.599999999999994</v>
      </c>
      <c r="AA6" s="6">
        <v>29.2</v>
      </c>
      <c r="AB6" s="76">
        <v>0</v>
      </c>
      <c r="AC6" s="6">
        <v>1</v>
      </c>
      <c r="AD6" s="6">
        <v>0</v>
      </c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</row>
    <row r="7" spans="1:44">
      <c r="A7" s="91"/>
      <c r="B7" s="6">
        <v>326</v>
      </c>
      <c r="C7" s="6">
        <v>1</v>
      </c>
      <c r="D7" s="6">
        <v>57.24</v>
      </c>
      <c r="E7" s="6">
        <v>61.4</v>
      </c>
      <c r="F7" s="6">
        <v>29.5</v>
      </c>
      <c r="G7" s="7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V7" s="22"/>
      <c r="W7" s="6">
        <v>326</v>
      </c>
      <c r="X7" s="6">
        <v>1</v>
      </c>
      <c r="Y7" s="6">
        <v>57.24</v>
      </c>
      <c r="Z7" s="6">
        <v>61.4</v>
      </c>
      <c r="AA7" s="6">
        <v>29.5</v>
      </c>
      <c r="AB7" s="76">
        <v>0</v>
      </c>
      <c r="AC7" s="6">
        <v>0</v>
      </c>
      <c r="AD7" s="6">
        <v>1</v>
      </c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</row>
    <row r="8" spans="1:44">
      <c r="A8" s="91"/>
      <c r="B8" s="6">
        <v>486</v>
      </c>
      <c r="C8" s="6">
        <v>1</v>
      </c>
      <c r="D8" s="6">
        <v>94.62</v>
      </c>
      <c r="E8" s="6">
        <v>23.8</v>
      </c>
      <c r="F8" s="6">
        <v>30</v>
      </c>
      <c r="G8" s="7"/>
      <c r="V8" s="22"/>
      <c r="W8" s="6">
        <v>486</v>
      </c>
      <c r="X8" s="6">
        <v>1</v>
      </c>
      <c r="Y8" s="6">
        <v>94.62</v>
      </c>
      <c r="Z8" s="6">
        <v>23.8</v>
      </c>
      <c r="AA8" s="6">
        <v>30</v>
      </c>
      <c r="AB8" s="76">
        <v>0</v>
      </c>
      <c r="AC8" s="6">
        <v>0</v>
      </c>
      <c r="AD8" s="6">
        <v>0</v>
      </c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</row>
    <row r="9" spans="1:44">
      <c r="A9" s="91"/>
      <c r="B9" s="6">
        <v>282</v>
      </c>
      <c r="C9" s="6">
        <v>1</v>
      </c>
      <c r="D9" s="6">
        <v>64.349999999999994</v>
      </c>
      <c r="E9" s="6">
        <v>46.4</v>
      </c>
      <c r="F9" s="6">
        <v>28.8</v>
      </c>
      <c r="G9" s="7"/>
      <c r="H9" s="107" t="s">
        <v>264</v>
      </c>
      <c r="I9" s="107"/>
      <c r="J9" s="107"/>
      <c r="K9" s="107"/>
      <c r="V9" s="22"/>
      <c r="W9" s="6">
        <v>282</v>
      </c>
      <c r="X9" s="6">
        <v>1</v>
      </c>
      <c r="Y9" s="6">
        <v>64.349999999999994</v>
      </c>
      <c r="Z9" s="6">
        <v>46.4</v>
      </c>
      <c r="AA9" s="6">
        <v>28.8</v>
      </c>
      <c r="AB9" s="76">
        <v>1</v>
      </c>
      <c r="AC9" s="6">
        <v>0</v>
      </c>
      <c r="AD9" s="6">
        <v>0</v>
      </c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</row>
    <row r="10" spans="1:44">
      <c r="A10" s="91"/>
      <c r="B10" s="6">
        <v>547</v>
      </c>
      <c r="C10" s="6">
        <v>1</v>
      </c>
      <c r="D10" s="6">
        <v>73.22</v>
      </c>
      <c r="E10" s="6">
        <v>37.200000000000003</v>
      </c>
      <c r="F10" s="6">
        <v>33.4</v>
      </c>
      <c r="G10" s="7"/>
      <c r="H10" s="21"/>
      <c r="I10" s="21"/>
      <c r="J10" s="21"/>
      <c r="K10" s="21"/>
      <c r="V10" s="22"/>
      <c r="W10" s="6">
        <v>547</v>
      </c>
      <c r="X10" s="6">
        <v>1</v>
      </c>
      <c r="Y10" s="6">
        <v>73.22</v>
      </c>
      <c r="Z10" s="6">
        <v>37.200000000000003</v>
      </c>
      <c r="AA10" s="6">
        <v>33.4</v>
      </c>
      <c r="AB10" s="76">
        <v>0</v>
      </c>
      <c r="AC10" s="6">
        <v>1</v>
      </c>
      <c r="AD10" s="6">
        <v>0</v>
      </c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</row>
    <row r="11" spans="1:44">
      <c r="A11" s="91"/>
      <c r="B11" s="6">
        <v>538</v>
      </c>
      <c r="C11" s="6">
        <v>1</v>
      </c>
      <c r="D11" s="6">
        <v>72.930000000000007</v>
      </c>
      <c r="E11" s="6">
        <v>32.200000000000003</v>
      </c>
      <c r="F11" s="6">
        <v>31.3</v>
      </c>
      <c r="G11" s="7"/>
      <c r="H11" s="21"/>
      <c r="I11" s="21"/>
      <c r="J11" s="21"/>
      <c r="K11" s="21"/>
      <c r="V11" s="22"/>
      <c r="W11" s="6">
        <v>538</v>
      </c>
      <c r="X11" s="6">
        <v>1</v>
      </c>
      <c r="Y11" s="6">
        <v>72.930000000000007</v>
      </c>
      <c r="Z11" s="6">
        <v>32.200000000000003</v>
      </c>
      <c r="AA11" s="6">
        <v>31.3</v>
      </c>
      <c r="AB11" s="76">
        <v>0</v>
      </c>
      <c r="AC11" s="6">
        <v>0</v>
      </c>
      <c r="AD11" s="6">
        <v>1</v>
      </c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</row>
    <row r="12" spans="1:44">
      <c r="A12" s="91"/>
      <c r="B12" s="6">
        <v>393</v>
      </c>
      <c r="C12" s="6">
        <v>1</v>
      </c>
      <c r="D12" s="6">
        <v>65.52</v>
      </c>
      <c r="E12" s="6">
        <v>46.2</v>
      </c>
      <c r="F12" s="6">
        <v>29.1</v>
      </c>
      <c r="G12" s="7"/>
      <c r="H12" s="21"/>
      <c r="I12" s="21"/>
      <c r="J12" s="21"/>
      <c r="K12" s="21"/>
      <c r="V12" s="22"/>
      <c r="W12" s="6">
        <v>393</v>
      </c>
      <c r="X12" s="6">
        <v>1</v>
      </c>
      <c r="Y12" s="6">
        <v>65.52</v>
      </c>
      <c r="Z12" s="6">
        <v>46.2</v>
      </c>
      <c r="AA12" s="6">
        <v>29.1</v>
      </c>
      <c r="AB12" s="76">
        <v>0</v>
      </c>
      <c r="AC12" s="6">
        <v>0</v>
      </c>
      <c r="AD12" s="6">
        <v>0</v>
      </c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</row>
    <row r="13" spans="1:44">
      <c r="A13" s="91"/>
      <c r="B13" s="6">
        <v>484</v>
      </c>
      <c r="C13" s="6">
        <v>1</v>
      </c>
      <c r="D13" s="6">
        <v>80.86</v>
      </c>
      <c r="E13" s="6">
        <v>23.7</v>
      </c>
      <c r="F13" s="6">
        <v>32.799999999999997</v>
      </c>
      <c r="G13" s="7"/>
      <c r="H13" s="21"/>
      <c r="I13" s="21"/>
      <c r="J13" s="21"/>
      <c r="K13" s="21"/>
      <c r="V13" s="22"/>
      <c r="W13" s="6">
        <v>484</v>
      </c>
      <c r="X13" s="6">
        <v>1</v>
      </c>
      <c r="Y13" s="6">
        <v>80.86</v>
      </c>
      <c r="Z13" s="6">
        <v>23.7</v>
      </c>
      <c r="AA13" s="6">
        <v>32.799999999999997</v>
      </c>
      <c r="AB13" s="76">
        <v>1</v>
      </c>
      <c r="AC13" s="6">
        <v>0</v>
      </c>
      <c r="AD13" s="6">
        <v>0</v>
      </c>
      <c r="AG13" s="106" t="s">
        <v>527</v>
      </c>
      <c r="AH13" s="106"/>
      <c r="AI13" s="106"/>
      <c r="AJ13" s="106"/>
      <c r="AK13" s="106"/>
      <c r="AL13" s="106"/>
      <c r="AM13" s="106"/>
      <c r="AN13" s="7"/>
      <c r="AO13" s="7"/>
      <c r="AP13" s="7"/>
      <c r="AQ13" s="7"/>
      <c r="AR13" s="7"/>
    </row>
    <row r="14" spans="1:44">
      <c r="A14" s="91"/>
      <c r="B14" s="6">
        <v>253</v>
      </c>
      <c r="C14" s="6">
        <v>1</v>
      </c>
      <c r="D14" s="6">
        <v>61.83</v>
      </c>
      <c r="E14" s="6">
        <v>51.8</v>
      </c>
      <c r="F14" s="6">
        <v>27.8</v>
      </c>
      <c r="G14" s="7"/>
      <c r="V14" s="22"/>
      <c r="W14" s="6">
        <v>253</v>
      </c>
      <c r="X14" s="6">
        <v>1</v>
      </c>
      <c r="Y14" s="6">
        <v>61.83</v>
      </c>
      <c r="Z14" s="6">
        <v>51.8</v>
      </c>
      <c r="AA14" s="6">
        <v>27.8</v>
      </c>
      <c r="AB14" s="76">
        <v>0</v>
      </c>
      <c r="AC14" s="6">
        <v>1</v>
      </c>
      <c r="AD14" s="6">
        <v>0</v>
      </c>
      <c r="AG14" s="20"/>
      <c r="AH14" s="20"/>
      <c r="AI14" s="20"/>
      <c r="AJ14" s="20"/>
      <c r="AK14" s="20"/>
      <c r="AL14" s="20"/>
      <c r="AM14" s="20"/>
      <c r="AN14" s="7"/>
      <c r="AO14" s="7"/>
      <c r="AP14" s="7"/>
      <c r="AQ14" s="7"/>
      <c r="AR14" s="7"/>
    </row>
    <row r="15" spans="1:44">
      <c r="A15" s="91"/>
      <c r="B15" s="6">
        <v>270</v>
      </c>
      <c r="C15" s="6">
        <v>1</v>
      </c>
      <c r="D15" s="6">
        <v>47.83</v>
      </c>
      <c r="E15" s="6">
        <v>69.400000000000006</v>
      </c>
      <c r="F15" s="6">
        <v>29.2</v>
      </c>
      <c r="G15" s="7"/>
      <c r="V15" s="22"/>
      <c r="W15" s="6">
        <v>270</v>
      </c>
      <c r="X15" s="6">
        <v>1</v>
      </c>
      <c r="Y15" s="6">
        <v>47.83</v>
      </c>
      <c r="Z15" s="6">
        <v>69.400000000000006</v>
      </c>
      <c r="AA15" s="6">
        <v>29.2</v>
      </c>
      <c r="AB15" s="76">
        <v>0</v>
      </c>
      <c r="AC15" s="6">
        <v>0</v>
      </c>
      <c r="AD15" s="6">
        <v>1</v>
      </c>
      <c r="AG15" s="20"/>
      <c r="AH15" s="20"/>
      <c r="AI15" s="20"/>
      <c r="AJ15" s="20"/>
      <c r="AK15" s="20"/>
      <c r="AL15" s="20"/>
      <c r="AM15" s="20"/>
      <c r="AN15" s="7"/>
      <c r="AO15" s="7"/>
      <c r="AP15" s="7"/>
      <c r="AQ15" s="7"/>
      <c r="AR15" s="7"/>
    </row>
    <row r="16" spans="1:44">
      <c r="A16" s="91"/>
      <c r="B16" s="6">
        <v>506</v>
      </c>
      <c r="C16" s="6">
        <v>1</v>
      </c>
      <c r="D16" s="6">
        <v>59.87</v>
      </c>
      <c r="E16" s="6">
        <v>47.9</v>
      </c>
      <c r="F16" s="6">
        <v>33.299999999999997</v>
      </c>
      <c r="G16" s="7"/>
      <c r="H16" s="107" t="s">
        <v>265</v>
      </c>
      <c r="I16" s="107"/>
      <c r="J16" s="107"/>
      <c r="K16" s="107"/>
      <c r="M16" s="18" t="s">
        <v>266</v>
      </c>
      <c r="P16" s="107" t="s">
        <v>267</v>
      </c>
      <c r="Q16" s="107"/>
      <c r="V16" s="22"/>
      <c r="W16" s="6">
        <v>506</v>
      </c>
      <c r="X16" s="6">
        <v>1</v>
      </c>
      <c r="Y16" s="6">
        <v>59.87</v>
      </c>
      <c r="Z16" s="6">
        <v>47.9</v>
      </c>
      <c r="AA16" s="6">
        <v>33.299999999999997</v>
      </c>
      <c r="AB16" s="76">
        <v>0</v>
      </c>
      <c r="AC16" s="6">
        <v>0</v>
      </c>
      <c r="AD16" s="6">
        <v>0</v>
      </c>
      <c r="AG16" s="20"/>
      <c r="AH16" s="20"/>
      <c r="AI16" s="20"/>
      <c r="AJ16" s="20"/>
      <c r="AK16" s="20"/>
      <c r="AL16" s="20"/>
      <c r="AM16" s="20"/>
      <c r="AN16" s="7"/>
      <c r="AO16" s="7"/>
      <c r="AP16" s="7"/>
      <c r="AQ16" s="7"/>
      <c r="AR16" s="7"/>
    </row>
    <row r="17" spans="1:44">
      <c r="B17" s="7"/>
      <c r="C17" s="7"/>
      <c r="D17" s="7"/>
      <c r="F17" s="7"/>
      <c r="H17" s="21"/>
      <c r="I17" s="21"/>
      <c r="J17" s="21"/>
      <c r="K17" s="21"/>
      <c r="M17" s="21"/>
      <c r="O17" s="18" t="s">
        <v>268</v>
      </c>
      <c r="P17" s="23"/>
      <c r="W17" s="7"/>
      <c r="X17" s="7"/>
      <c r="Y17" s="7"/>
      <c r="AA17" s="7"/>
      <c r="AG17" s="20"/>
      <c r="AH17" s="20"/>
      <c r="AI17" s="20"/>
      <c r="AJ17" s="20"/>
      <c r="AK17" s="20"/>
      <c r="AL17" s="20"/>
      <c r="AM17" s="20"/>
      <c r="AN17" s="7"/>
      <c r="AO17" s="7"/>
      <c r="AP17" s="7"/>
      <c r="AQ17" s="7"/>
      <c r="AR17" s="7"/>
    </row>
    <row r="18" spans="1:44">
      <c r="A18" s="6" t="s">
        <v>269</v>
      </c>
      <c r="B18" s="20"/>
      <c r="C18" s="7"/>
      <c r="H18" s="21"/>
      <c r="I18" s="21"/>
      <c r="J18" s="21"/>
      <c r="K18" s="21"/>
      <c r="M18" s="21"/>
      <c r="O18" s="18" t="s">
        <v>254</v>
      </c>
      <c r="P18" s="23"/>
      <c r="V18" s="6" t="s">
        <v>528</v>
      </c>
      <c r="W18" s="7"/>
      <c r="X18" s="7"/>
      <c r="AG18" s="20"/>
      <c r="AH18" s="20"/>
      <c r="AI18" s="20"/>
      <c r="AJ18" s="20"/>
      <c r="AK18" s="20"/>
      <c r="AL18" s="20"/>
      <c r="AM18" s="20"/>
      <c r="AN18" s="7"/>
      <c r="AO18" s="7"/>
      <c r="AP18" s="7"/>
      <c r="AQ18" s="7"/>
      <c r="AR18" s="7"/>
    </row>
    <row r="19" spans="1:44">
      <c r="B19" s="7"/>
      <c r="C19" s="7"/>
      <c r="D19" s="7"/>
      <c r="H19" s="21"/>
      <c r="I19" s="21"/>
      <c r="J19" s="21"/>
      <c r="K19" s="21"/>
      <c r="M19" s="21"/>
      <c r="O19" s="18" t="s">
        <v>255</v>
      </c>
      <c r="P19" s="23"/>
      <c r="W19" s="7"/>
      <c r="X19" s="7"/>
      <c r="Y19" s="7"/>
      <c r="AG19" s="20"/>
      <c r="AH19" s="20"/>
      <c r="AI19" s="20"/>
      <c r="AJ19" s="20"/>
      <c r="AK19" s="20"/>
      <c r="AL19" s="20"/>
      <c r="AM19" s="20"/>
      <c r="AN19" s="7"/>
      <c r="AO19" s="7"/>
      <c r="AP19" s="7"/>
      <c r="AQ19" s="7"/>
      <c r="AR19" s="7"/>
    </row>
    <row r="20" spans="1:44">
      <c r="B20" s="7"/>
      <c r="F20" s="7"/>
      <c r="H20" s="21"/>
      <c r="I20" s="21"/>
      <c r="J20" s="21"/>
      <c r="K20" s="21"/>
      <c r="M20" s="21"/>
      <c r="O20" s="18" t="s">
        <v>256</v>
      </c>
      <c r="P20" s="23"/>
      <c r="W20" s="7"/>
      <c r="AA20" s="7"/>
      <c r="AG20" s="20"/>
      <c r="AH20" s="20"/>
      <c r="AI20" s="20"/>
      <c r="AJ20" s="20"/>
      <c r="AK20" s="20"/>
      <c r="AL20" s="20"/>
      <c r="AM20" s="20"/>
      <c r="AN20" s="7"/>
      <c r="AO20" s="7"/>
      <c r="AP20" s="7"/>
      <c r="AQ20" s="7"/>
      <c r="AR20" s="7"/>
    </row>
    <row r="21" spans="1:44">
      <c r="B21" s="7"/>
      <c r="W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</row>
    <row r="22" spans="1:44">
      <c r="B22" s="7"/>
      <c r="D22" s="7"/>
      <c r="E22" s="7"/>
      <c r="F22" s="7"/>
      <c r="W22" s="7"/>
      <c r="X22" s="76"/>
      <c r="AA22" s="7"/>
      <c r="AC22" s="7"/>
      <c r="AD22" s="7"/>
      <c r="AG22" s="106" t="s">
        <v>529</v>
      </c>
      <c r="AH22" s="106"/>
      <c r="AI22" s="106"/>
      <c r="AJ22" s="106"/>
      <c r="AK22" s="106"/>
      <c r="AL22" s="106"/>
      <c r="AM22" s="106"/>
      <c r="AN22" s="7"/>
      <c r="AO22" s="74" t="s">
        <v>266</v>
      </c>
      <c r="AP22" s="7"/>
      <c r="AQ22" s="106" t="s">
        <v>530</v>
      </c>
      <c r="AR22" s="106"/>
    </row>
    <row r="23" spans="1:44">
      <c r="B23" s="7"/>
      <c r="D23" s="7"/>
      <c r="E23" s="7"/>
      <c r="F23" s="7"/>
      <c r="W23" s="7"/>
      <c r="X23" s="76"/>
      <c r="AA23" s="7"/>
      <c r="AC23" s="7"/>
      <c r="AD23" s="7"/>
      <c r="AG23" s="20"/>
      <c r="AH23" s="20"/>
      <c r="AI23" s="20"/>
      <c r="AJ23" s="20"/>
      <c r="AK23" s="20"/>
      <c r="AL23" s="20"/>
      <c r="AM23" s="20"/>
      <c r="AN23" s="7"/>
      <c r="AO23" s="20"/>
      <c r="AP23" s="74" t="s">
        <v>531</v>
      </c>
      <c r="AQ23" s="20"/>
      <c r="AR23" s="7"/>
    </row>
    <row r="24" spans="1:44">
      <c r="B24" s="7"/>
      <c r="D24" s="7"/>
      <c r="E24" s="7"/>
      <c r="F24" s="7"/>
      <c r="W24" s="7"/>
      <c r="X24" s="76"/>
      <c r="AA24" s="7"/>
      <c r="AC24" s="7"/>
      <c r="AD24" s="7"/>
      <c r="AG24" s="20"/>
      <c r="AH24" s="20"/>
      <c r="AI24" s="20"/>
      <c r="AJ24" s="20"/>
      <c r="AK24" s="20"/>
      <c r="AL24" s="20"/>
      <c r="AM24" s="20"/>
      <c r="AN24" s="7"/>
      <c r="AO24" s="20"/>
      <c r="AP24" s="74" t="s">
        <v>254</v>
      </c>
      <c r="AQ24" s="20"/>
      <c r="AR24" s="7"/>
    </row>
    <row r="25" spans="1:44">
      <c r="B25" s="7"/>
      <c r="F25" s="24"/>
      <c r="W25" s="7"/>
      <c r="Z25" s="77"/>
      <c r="AA25" s="24"/>
      <c r="AC25" s="7"/>
      <c r="AD25" s="7"/>
      <c r="AG25" s="20"/>
      <c r="AH25" s="20"/>
      <c r="AI25" s="20"/>
      <c r="AJ25" s="20"/>
      <c r="AK25" s="20"/>
      <c r="AL25" s="20"/>
      <c r="AM25" s="20"/>
      <c r="AN25" s="7"/>
      <c r="AO25" s="20"/>
      <c r="AP25" s="74" t="s">
        <v>255</v>
      </c>
      <c r="AQ25" s="20"/>
      <c r="AR25" s="7"/>
    </row>
    <row r="26" spans="1:44">
      <c r="B26" s="7"/>
      <c r="W26" s="7"/>
      <c r="Z26" s="77"/>
      <c r="AC26" s="7"/>
      <c r="AD26" s="7"/>
      <c r="AG26" s="20"/>
      <c r="AH26" s="20"/>
      <c r="AI26" s="20"/>
      <c r="AJ26" s="20"/>
      <c r="AK26" s="20"/>
      <c r="AL26" s="20"/>
      <c r="AM26" s="20"/>
      <c r="AN26" s="7"/>
      <c r="AO26" s="20"/>
      <c r="AP26" s="74" t="s">
        <v>256</v>
      </c>
      <c r="AQ26" s="20"/>
      <c r="AR26" s="7"/>
    </row>
    <row r="27" spans="1:44">
      <c r="B27" s="7"/>
      <c r="W27" s="7"/>
      <c r="Z27" s="77"/>
      <c r="AG27" s="20"/>
      <c r="AH27" s="20"/>
      <c r="AI27" s="20"/>
      <c r="AJ27" s="20"/>
      <c r="AK27" s="20"/>
      <c r="AL27" s="20"/>
      <c r="AM27" s="20"/>
      <c r="AN27" s="7"/>
      <c r="AO27" s="20"/>
      <c r="AP27" s="74" t="s">
        <v>532</v>
      </c>
      <c r="AQ27" s="20"/>
      <c r="AR27" s="7"/>
    </row>
    <row r="28" spans="1:44">
      <c r="B28" s="7"/>
      <c r="W28" s="7"/>
      <c r="Z28" s="77"/>
      <c r="AG28" s="20"/>
      <c r="AH28" s="20"/>
      <c r="AI28" s="20"/>
      <c r="AJ28" s="20"/>
      <c r="AK28" s="20"/>
      <c r="AL28" s="20"/>
      <c r="AM28" s="20"/>
      <c r="AN28" s="7"/>
      <c r="AO28" s="20"/>
      <c r="AP28" s="74" t="s">
        <v>533</v>
      </c>
      <c r="AQ28" s="20"/>
      <c r="AR28" s="7"/>
    </row>
    <row r="29" spans="1:44">
      <c r="B29" s="7"/>
      <c r="W29" s="7"/>
      <c r="Z29" s="77"/>
      <c r="AG29" s="20"/>
      <c r="AH29" s="20"/>
      <c r="AI29" s="20"/>
      <c r="AJ29" s="20"/>
      <c r="AK29" s="20"/>
      <c r="AL29" s="20"/>
      <c r="AM29" s="20"/>
      <c r="AN29" s="7"/>
      <c r="AO29" s="20"/>
      <c r="AP29" s="74" t="s">
        <v>534</v>
      </c>
      <c r="AQ29" s="20"/>
      <c r="AR29" s="7"/>
    </row>
    <row r="30" spans="1:44">
      <c r="B30" s="7"/>
    </row>
    <row r="31" spans="1:44">
      <c r="B31" s="7"/>
    </row>
    <row r="32" spans="1:44">
      <c r="B32" s="7"/>
    </row>
    <row r="33" spans="2:2">
      <c r="B33" s="7"/>
    </row>
  </sheetData>
  <mergeCells count="10">
    <mergeCell ref="AG4:AR4"/>
    <mergeCell ref="AG13:AM13"/>
    <mergeCell ref="AG22:AM22"/>
    <mergeCell ref="AQ22:AR22"/>
    <mergeCell ref="X3:AD3"/>
    <mergeCell ref="C3:F3"/>
    <mergeCell ref="H3:S3"/>
    <mergeCell ref="H9:K9"/>
    <mergeCell ref="H16:K16"/>
    <mergeCell ref="P16:Q1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8"/>
  <sheetViews>
    <sheetView zoomScale="55" zoomScaleNormal="55" workbookViewId="0">
      <selection activeCell="R42" sqref="R42:R44"/>
    </sheetView>
  </sheetViews>
  <sheetFormatPr defaultRowHeight="17.399999999999999"/>
  <cols>
    <col min="1" max="1" width="9.19921875" style="25" bestFit="1" customWidth="1"/>
    <col min="2" max="2" width="20" style="25" bestFit="1" customWidth="1"/>
    <col min="3" max="3" width="9.796875" style="25" bestFit="1" customWidth="1"/>
    <col min="4" max="4" width="18.09765625" style="25" bestFit="1" customWidth="1"/>
    <col min="5" max="5" width="7.796875" style="25" bestFit="1" customWidth="1"/>
    <col min="6" max="6" width="5.19921875" style="25" customWidth="1"/>
    <col min="7" max="7" width="9.19921875" style="25" bestFit="1" customWidth="1"/>
    <col min="8" max="8" width="18.09765625" style="25" bestFit="1" customWidth="1"/>
    <col min="9" max="9" width="9.8984375" style="25" bestFit="1" customWidth="1"/>
    <col min="10" max="10" width="18.19921875" style="25" bestFit="1" customWidth="1"/>
    <col min="11" max="11" width="6.796875" style="25" bestFit="1" customWidth="1"/>
    <col min="12" max="12" width="7.09765625" style="25" customWidth="1"/>
    <col min="13" max="13" width="6.5" style="25" bestFit="1" customWidth="1"/>
    <col min="14" max="14" width="16.09765625" style="25" bestFit="1" customWidth="1"/>
    <col min="15" max="16" width="18.09765625" style="25" bestFit="1" customWidth="1"/>
    <col min="17" max="17" width="9.796875" style="25" bestFit="1" customWidth="1"/>
    <col min="18" max="18" width="18.09765625" style="25" bestFit="1" customWidth="1"/>
    <col min="19" max="19" width="9.8984375" style="25" bestFit="1" customWidth="1"/>
    <col min="20" max="22" width="8.796875" style="25"/>
    <col min="23" max="24" width="6.5" style="25" bestFit="1" customWidth="1"/>
    <col min="25" max="25" width="11.09765625" style="25" bestFit="1" customWidth="1"/>
    <col min="26" max="16384" width="8.796875" style="25"/>
  </cols>
  <sheetData>
    <row r="1" spans="1:26">
      <c r="B1" s="26" t="s">
        <v>253</v>
      </c>
      <c r="C1" s="26" t="s">
        <v>270</v>
      </c>
      <c r="D1" s="26" t="s">
        <v>271</v>
      </c>
      <c r="E1" s="26" t="s">
        <v>272</v>
      </c>
    </row>
    <row r="2" spans="1:26">
      <c r="B2" s="27"/>
      <c r="C2" s="27"/>
      <c r="D2" s="27"/>
      <c r="E2" s="27"/>
      <c r="N2" s="28" t="s">
        <v>273</v>
      </c>
      <c r="P2" s="109" t="s">
        <v>274</v>
      </c>
      <c r="Q2" s="109"/>
      <c r="R2" s="109"/>
      <c r="S2" s="109"/>
    </row>
    <row r="3" spans="1:26">
      <c r="A3" s="28" t="s">
        <v>276</v>
      </c>
      <c r="B3" s="28" t="s">
        <v>278</v>
      </c>
      <c r="C3" s="109" t="s">
        <v>279</v>
      </c>
      <c r="D3" s="109"/>
      <c r="E3" s="109"/>
      <c r="G3" s="28" t="s">
        <v>276</v>
      </c>
      <c r="H3" s="109" t="s">
        <v>281</v>
      </c>
      <c r="I3" s="109"/>
      <c r="J3" s="109"/>
      <c r="K3" s="109"/>
      <c r="M3" s="26" t="s">
        <v>282</v>
      </c>
      <c r="N3" s="29"/>
      <c r="Q3" s="26" t="s">
        <v>283</v>
      </c>
      <c r="R3" s="26" t="s">
        <v>263</v>
      </c>
      <c r="S3" s="26" t="s">
        <v>224</v>
      </c>
    </row>
    <row r="4" spans="1:26">
      <c r="A4" s="28"/>
      <c r="B4" s="26" t="s">
        <v>509</v>
      </c>
      <c r="C4" s="26" t="s">
        <v>283</v>
      </c>
      <c r="D4" s="26" t="s">
        <v>263</v>
      </c>
      <c r="E4" s="26" t="s">
        <v>224</v>
      </c>
      <c r="G4" s="28"/>
      <c r="H4" s="26" t="s">
        <v>509</v>
      </c>
      <c r="I4" s="26" t="s">
        <v>283</v>
      </c>
      <c r="J4" s="26" t="s">
        <v>263</v>
      </c>
      <c r="K4" s="26" t="s">
        <v>224</v>
      </c>
      <c r="M4" s="26" t="s">
        <v>284</v>
      </c>
      <c r="N4" s="29"/>
      <c r="P4" s="26" t="s">
        <v>283</v>
      </c>
      <c r="Q4" s="29"/>
      <c r="R4" s="29"/>
      <c r="S4" s="29"/>
    </row>
    <row r="5" spans="1:26">
      <c r="A5" s="41"/>
      <c r="B5" s="25">
        <v>557</v>
      </c>
      <c r="C5" s="25">
        <v>75.73</v>
      </c>
      <c r="D5" s="25">
        <v>36.200000000000003</v>
      </c>
      <c r="E5" s="25">
        <v>32.6</v>
      </c>
      <c r="G5" s="29"/>
      <c r="H5" s="29"/>
      <c r="I5" s="29"/>
      <c r="J5" s="29"/>
      <c r="K5" s="29"/>
      <c r="M5" s="26" t="s">
        <v>285</v>
      </c>
      <c r="N5" s="29"/>
      <c r="P5" s="26" t="s">
        <v>263</v>
      </c>
      <c r="Q5" s="29"/>
      <c r="R5" s="29"/>
      <c r="S5" s="29"/>
    </row>
    <row r="6" spans="1:26">
      <c r="A6" s="41"/>
      <c r="B6" s="25">
        <v>149</v>
      </c>
      <c r="C6" s="25">
        <v>35.11</v>
      </c>
      <c r="D6" s="25">
        <v>65.599999999999994</v>
      </c>
      <c r="E6" s="25">
        <v>29.2</v>
      </c>
      <c r="G6" s="29"/>
      <c r="H6" s="29"/>
      <c r="I6" s="29"/>
      <c r="J6" s="29"/>
      <c r="K6" s="29"/>
      <c r="P6" s="26" t="s">
        <v>224</v>
      </c>
      <c r="Q6" s="29"/>
      <c r="R6" s="29"/>
      <c r="S6" s="29"/>
    </row>
    <row r="7" spans="1:26">
      <c r="A7" s="41"/>
      <c r="B7" s="25">
        <v>326</v>
      </c>
      <c r="C7" s="25">
        <v>57.24</v>
      </c>
      <c r="D7" s="25">
        <v>61.4</v>
      </c>
      <c r="E7" s="25">
        <v>29.5</v>
      </c>
      <c r="G7" s="29"/>
      <c r="H7" s="29"/>
      <c r="I7" s="29"/>
      <c r="J7" s="29"/>
      <c r="K7" s="29"/>
    </row>
    <row r="8" spans="1:26">
      <c r="A8" s="41"/>
      <c r="B8" s="25">
        <v>486</v>
      </c>
      <c r="C8" s="25">
        <v>94.62</v>
      </c>
      <c r="D8" s="25">
        <v>23.8</v>
      </c>
      <c r="E8" s="25">
        <v>30</v>
      </c>
      <c r="G8" s="29"/>
      <c r="H8" s="29"/>
      <c r="I8" s="29"/>
      <c r="J8" s="29"/>
      <c r="K8" s="29"/>
      <c r="P8" s="109" t="s">
        <v>198</v>
      </c>
      <c r="Q8" s="109"/>
      <c r="R8" s="109"/>
      <c r="S8" s="109"/>
    </row>
    <row r="9" spans="1:26">
      <c r="A9" s="41"/>
      <c r="B9" s="25">
        <v>282</v>
      </c>
      <c r="C9" s="25">
        <v>64.349999999999994</v>
      </c>
      <c r="D9" s="25">
        <v>46.4</v>
      </c>
      <c r="E9" s="25">
        <v>28.8</v>
      </c>
      <c r="G9" s="29"/>
      <c r="H9" s="29"/>
      <c r="I9" s="29"/>
      <c r="J9" s="29"/>
      <c r="K9" s="29"/>
      <c r="P9" s="10"/>
      <c r="Q9" s="10" t="s">
        <v>193</v>
      </c>
      <c r="R9" s="10" t="s">
        <v>194</v>
      </c>
      <c r="S9" s="10" t="s">
        <v>195</v>
      </c>
      <c r="W9" s="9"/>
      <c r="X9" s="9"/>
      <c r="Y9" s="9"/>
      <c r="Z9" s="9"/>
    </row>
    <row r="10" spans="1:26">
      <c r="A10" s="41"/>
      <c r="B10" s="25">
        <v>547</v>
      </c>
      <c r="C10" s="25">
        <v>73.22</v>
      </c>
      <c r="D10" s="25">
        <v>37.200000000000003</v>
      </c>
      <c r="E10" s="25">
        <v>33.4</v>
      </c>
      <c r="G10" s="29"/>
      <c r="H10" s="29"/>
      <c r="I10" s="29"/>
      <c r="J10" s="29"/>
      <c r="K10" s="29"/>
      <c r="P10" s="30" t="s">
        <v>198</v>
      </c>
      <c r="Q10" s="31"/>
      <c r="R10" s="31"/>
      <c r="S10" s="31"/>
      <c r="T10" s="10"/>
      <c r="U10" s="10"/>
      <c r="V10" s="10"/>
      <c r="W10" s="9"/>
      <c r="X10" s="9"/>
      <c r="Y10" s="9"/>
      <c r="Z10" s="9"/>
    </row>
    <row r="11" spans="1:26">
      <c r="A11" s="41"/>
      <c r="B11" s="25">
        <v>538</v>
      </c>
      <c r="C11" s="25">
        <v>72.930000000000007</v>
      </c>
      <c r="D11" s="25">
        <v>32.200000000000003</v>
      </c>
      <c r="E11" s="25">
        <v>31.3</v>
      </c>
      <c r="G11" s="29"/>
      <c r="H11" s="29"/>
      <c r="I11" s="29"/>
      <c r="J11" s="29"/>
      <c r="K11" s="29"/>
      <c r="P11" s="30" t="s">
        <v>286</v>
      </c>
      <c r="Q11" s="31"/>
      <c r="R11" s="31"/>
      <c r="S11" s="31"/>
      <c r="T11" s="32"/>
      <c r="U11" s="32"/>
      <c r="V11" s="32"/>
      <c r="W11" s="9"/>
      <c r="X11" s="9"/>
      <c r="Y11" s="9"/>
      <c r="Z11" s="9"/>
    </row>
    <row r="12" spans="1:26">
      <c r="A12" s="41"/>
      <c r="B12" s="25">
        <v>393</v>
      </c>
      <c r="C12" s="25">
        <v>65.52</v>
      </c>
      <c r="D12" s="25">
        <v>46.2</v>
      </c>
      <c r="E12" s="25">
        <v>29.1</v>
      </c>
      <c r="G12" s="29"/>
      <c r="H12" s="29"/>
      <c r="I12" s="29"/>
      <c r="J12" s="29"/>
      <c r="K12" s="29"/>
      <c r="P12" s="30" t="s">
        <v>287</v>
      </c>
      <c r="Q12" s="31"/>
      <c r="R12" s="31"/>
      <c r="S12" s="31"/>
      <c r="T12" s="32"/>
      <c r="U12" s="32"/>
      <c r="W12" s="9"/>
      <c r="X12" s="9"/>
      <c r="Y12" s="9"/>
      <c r="Z12" s="9"/>
    </row>
    <row r="13" spans="1:26">
      <c r="A13" s="41"/>
      <c r="B13" s="25">
        <v>484</v>
      </c>
      <c r="C13" s="25">
        <v>80.86</v>
      </c>
      <c r="D13" s="25">
        <v>23.7</v>
      </c>
      <c r="E13" s="25">
        <v>32.799999999999997</v>
      </c>
      <c r="G13" s="29"/>
      <c r="H13" s="29"/>
      <c r="I13" s="29"/>
      <c r="J13" s="29"/>
      <c r="K13" s="29"/>
      <c r="P13" s="9"/>
      <c r="Q13" s="9"/>
      <c r="T13" s="32"/>
      <c r="U13" s="32"/>
      <c r="W13" s="9"/>
      <c r="X13" s="9"/>
      <c r="Y13" s="9"/>
      <c r="Z13" s="9"/>
    </row>
    <row r="14" spans="1:26">
      <c r="A14" s="41"/>
      <c r="B14" s="25">
        <v>253</v>
      </c>
      <c r="C14" s="25">
        <v>61.83</v>
      </c>
      <c r="D14" s="25">
        <v>51.8</v>
      </c>
      <c r="E14" s="25">
        <v>27.8</v>
      </c>
      <c r="G14" s="29"/>
      <c r="H14" s="29"/>
      <c r="I14" s="29"/>
      <c r="J14" s="29"/>
      <c r="K14" s="29"/>
      <c r="P14" s="109" t="s">
        <v>288</v>
      </c>
      <c r="Q14" s="109"/>
      <c r="R14" s="109"/>
      <c r="S14" s="109"/>
      <c r="T14" s="32"/>
      <c r="U14" s="32"/>
      <c r="W14" s="9"/>
      <c r="X14" s="9"/>
      <c r="Y14" s="9"/>
      <c r="Z14" s="9"/>
    </row>
    <row r="15" spans="1:26">
      <c r="A15" s="41"/>
      <c r="B15" s="25">
        <v>270</v>
      </c>
      <c r="C15" s="25">
        <v>47.83</v>
      </c>
      <c r="D15" s="25">
        <v>69.400000000000006</v>
      </c>
      <c r="E15" s="25">
        <v>29.2</v>
      </c>
      <c r="G15" s="29"/>
      <c r="H15" s="29"/>
      <c r="I15" s="29"/>
      <c r="J15" s="29"/>
      <c r="K15" s="29"/>
      <c r="P15" s="9"/>
      <c r="Q15" s="9" t="s">
        <v>193</v>
      </c>
      <c r="R15" s="9" t="s">
        <v>194</v>
      </c>
      <c r="S15" s="9" t="s">
        <v>195</v>
      </c>
      <c r="T15" s="32"/>
      <c r="U15" s="32"/>
      <c r="W15" s="9"/>
      <c r="X15" s="9"/>
      <c r="Y15" s="9"/>
      <c r="Z15" s="9"/>
    </row>
    <row r="16" spans="1:26">
      <c r="A16" s="41"/>
      <c r="B16" s="25">
        <v>506</v>
      </c>
      <c r="C16" s="25">
        <v>59.87</v>
      </c>
      <c r="D16" s="25">
        <v>47.9</v>
      </c>
      <c r="E16" s="25">
        <v>33.299999999999997</v>
      </c>
      <c r="G16" s="29"/>
      <c r="H16" s="29"/>
      <c r="I16" s="29"/>
      <c r="J16" s="29"/>
      <c r="K16" s="29"/>
      <c r="P16" s="26" t="s">
        <v>283</v>
      </c>
      <c r="Q16" s="31"/>
      <c r="R16" s="31"/>
      <c r="S16" s="31"/>
      <c r="T16" s="32"/>
      <c r="U16" s="32"/>
      <c r="W16" s="9"/>
      <c r="X16" s="9"/>
      <c r="Y16" s="9"/>
      <c r="Z16" s="9"/>
    </row>
    <row r="17" spans="1:21">
      <c r="A17" s="26" t="s">
        <v>196</v>
      </c>
      <c r="B17" s="33">
        <f>AVERAGE(B5:B16)</f>
        <v>399.25</v>
      </c>
      <c r="C17" s="33">
        <f>AVERAGE(C5:C16)</f>
        <v>65.759166666666687</v>
      </c>
      <c r="D17" s="33">
        <f>AVERAGE(D5:D16)</f>
        <v>45.15</v>
      </c>
      <c r="E17" s="33">
        <f>AVERAGE(E5:E16)</f>
        <v>30.583333333333332</v>
      </c>
      <c r="G17" s="26" t="s">
        <v>196</v>
      </c>
      <c r="H17" s="33"/>
      <c r="I17" s="33"/>
      <c r="J17" s="33"/>
      <c r="K17" s="33"/>
      <c r="P17" s="26" t="s">
        <v>263</v>
      </c>
      <c r="Q17" s="31"/>
      <c r="R17" s="31"/>
      <c r="S17" s="31"/>
      <c r="T17" s="32"/>
      <c r="U17" s="32"/>
    </row>
    <row r="18" spans="1:21">
      <c r="A18" s="26" t="s">
        <v>244</v>
      </c>
      <c r="B18" s="33">
        <f>_xlfn.STDEV.S(B5:B16)</f>
        <v>138.80733868469372</v>
      </c>
      <c r="C18" s="33">
        <f>_xlfn.STDEV.S(C5:C16)</f>
        <v>15.530180270763788</v>
      </c>
      <c r="D18" s="33">
        <f>_xlfn.STDEV.S(D5:D16)</f>
        <v>15.230680758378364</v>
      </c>
      <c r="E18" s="33">
        <f>_xlfn.STDEV.S(E5:E16)</f>
        <v>1.9834924815190054</v>
      </c>
      <c r="G18" s="26" t="s">
        <v>244</v>
      </c>
      <c r="H18" s="33"/>
      <c r="I18" s="33"/>
      <c r="J18" s="33"/>
      <c r="K18" s="33"/>
      <c r="P18" s="26" t="s">
        <v>224</v>
      </c>
      <c r="Q18" s="31"/>
      <c r="R18" s="31"/>
      <c r="S18" s="31"/>
    </row>
    <row r="19" spans="1:21">
      <c r="A19" s="26" t="s">
        <v>136</v>
      </c>
      <c r="B19" s="29"/>
      <c r="G19" s="26" t="s">
        <v>136</v>
      </c>
      <c r="H19" s="29"/>
    </row>
    <row r="21" spans="1:21">
      <c r="H21" s="109" t="s">
        <v>289</v>
      </c>
      <c r="I21" s="109"/>
      <c r="J21" s="109"/>
      <c r="K21" s="109"/>
    </row>
    <row r="22" spans="1:21">
      <c r="H22" s="26" t="s">
        <v>509</v>
      </c>
      <c r="I22" s="26" t="s">
        <v>193</v>
      </c>
      <c r="J22" s="26" t="s">
        <v>194</v>
      </c>
      <c r="K22" s="26" t="s">
        <v>195</v>
      </c>
    </row>
    <row r="23" spans="1:21">
      <c r="H23" s="29"/>
      <c r="I23" s="29"/>
      <c r="J23" s="29"/>
      <c r="K23" s="29"/>
    </row>
    <row r="24" spans="1:21">
      <c r="H24" s="29"/>
      <c r="I24" s="29"/>
      <c r="J24" s="29"/>
      <c r="K24" s="29"/>
    </row>
    <row r="25" spans="1:21">
      <c r="H25" s="29"/>
      <c r="I25" s="29"/>
      <c r="J25" s="29"/>
      <c r="K25" s="29"/>
    </row>
    <row r="26" spans="1:21">
      <c r="H26" s="29"/>
      <c r="I26" s="29"/>
      <c r="J26" s="29"/>
      <c r="K26" s="29"/>
    </row>
    <row r="27" spans="1:21">
      <c r="H27" s="29"/>
      <c r="I27" s="29"/>
      <c r="J27" s="29"/>
      <c r="K27" s="29"/>
    </row>
    <row r="28" spans="1:21">
      <c r="H28" s="29"/>
      <c r="I28" s="29"/>
      <c r="J28" s="29"/>
      <c r="K28" s="29"/>
    </row>
    <row r="29" spans="1:21">
      <c r="H29" s="29"/>
      <c r="I29" s="29"/>
      <c r="J29" s="29"/>
      <c r="K29" s="29"/>
    </row>
    <row r="30" spans="1:21">
      <c r="H30" s="29"/>
      <c r="I30" s="29"/>
      <c r="J30" s="29"/>
      <c r="K30" s="29"/>
    </row>
    <row r="31" spans="1:21">
      <c r="H31" s="29"/>
      <c r="I31" s="29"/>
      <c r="J31" s="29"/>
      <c r="K31" s="29"/>
    </row>
    <row r="32" spans="1:21">
      <c r="H32" s="29"/>
      <c r="I32" s="29"/>
      <c r="J32" s="29"/>
      <c r="K32" s="29"/>
    </row>
    <row r="33" spans="2:19">
      <c r="H33" s="29"/>
      <c r="I33" s="29"/>
      <c r="J33" s="29"/>
      <c r="K33" s="29"/>
    </row>
    <row r="34" spans="2:19">
      <c r="H34" s="29"/>
      <c r="I34" s="29"/>
      <c r="J34" s="29"/>
      <c r="K34" s="29"/>
    </row>
    <row r="36" spans="2:19">
      <c r="H36" s="109" t="s">
        <v>290</v>
      </c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</row>
    <row r="37" spans="2:19"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</row>
    <row r="38" spans="2:19"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</row>
    <row r="41" spans="2:19">
      <c r="H41" s="109" t="s">
        <v>291</v>
      </c>
      <c r="I41" s="109"/>
      <c r="K41" s="109" t="s">
        <v>292</v>
      </c>
      <c r="L41" s="109"/>
      <c r="O41" s="28" t="s">
        <v>293</v>
      </c>
      <c r="R41" s="28" t="s">
        <v>294</v>
      </c>
    </row>
    <row r="42" spans="2:19">
      <c r="H42" s="29"/>
      <c r="I42" s="29"/>
      <c r="K42" s="29"/>
      <c r="L42" s="29"/>
      <c r="O42" s="29"/>
      <c r="Q42" s="26" t="s">
        <v>295</v>
      </c>
      <c r="R42" s="29"/>
    </row>
    <row r="43" spans="2:19">
      <c r="H43" s="29"/>
      <c r="I43" s="29"/>
      <c r="K43" s="29"/>
      <c r="L43" s="29"/>
      <c r="O43" s="29"/>
      <c r="Q43" s="26" t="s">
        <v>296</v>
      </c>
      <c r="R43" s="29"/>
    </row>
    <row r="48" spans="2:19" ht="18" thickBot="1">
      <c r="B48" s="26" t="s">
        <v>297</v>
      </c>
      <c r="C48" s="26" t="s">
        <v>298</v>
      </c>
      <c r="D48" s="26" t="s">
        <v>299</v>
      </c>
      <c r="E48" s="26" t="s">
        <v>300</v>
      </c>
    </row>
    <row r="49" spans="1:11" ht="18.600000000000001" thickTop="1" thickBot="1">
      <c r="B49" s="34">
        <f>B64-SUMPRODUCT(C49:E49,C64:E64)</f>
        <v>-1557.4408039020138</v>
      </c>
      <c r="C49" s="35">
        <f>I49*$B$65/C65</f>
        <v>6.5972853435497614</v>
      </c>
      <c r="D49" s="35">
        <f>J49*$B$65/D65</f>
        <v>2.3413203920787495</v>
      </c>
      <c r="E49" s="35">
        <f>K49*$B$65/E65</f>
        <v>46.337270901763887</v>
      </c>
      <c r="I49" s="29">
        <f>MMULT(I81:K81,S106:S108)</f>
        <v>0.73812401890170054</v>
      </c>
      <c r="J49" s="29">
        <f t="array" ref="J49">MMULT(I82:K82,S106:S108)</f>
        <v>0.25690214784562337</v>
      </c>
      <c r="K49" s="29">
        <f t="array" ref="K49">MMULT(I83:K83,S106:S108)</f>
        <v>0.66213810680813034</v>
      </c>
    </row>
    <row r="50" spans="1:11" ht="18" thickTop="1">
      <c r="A50" s="28" t="s">
        <v>275</v>
      </c>
      <c r="B50" s="28" t="s">
        <v>277</v>
      </c>
      <c r="C50" s="108"/>
      <c r="D50" s="108"/>
      <c r="E50" s="108"/>
      <c r="H50" s="109" t="s">
        <v>280</v>
      </c>
      <c r="I50" s="109"/>
      <c r="J50" s="109"/>
      <c r="K50" s="109"/>
    </row>
    <row r="51" spans="1:11">
      <c r="A51" s="28" t="s">
        <v>275</v>
      </c>
      <c r="B51" s="26" t="s">
        <v>509</v>
      </c>
      <c r="C51" s="26" t="s">
        <v>283</v>
      </c>
      <c r="D51" s="26" t="s">
        <v>263</v>
      </c>
      <c r="E51" s="26" t="s">
        <v>224</v>
      </c>
      <c r="H51" s="26" t="s">
        <v>509</v>
      </c>
      <c r="I51" s="26" t="s">
        <v>283</v>
      </c>
      <c r="J51" s="26" t="s">
        <v>263</v>
      </c>
      <c r="K51" s="26" t="s">
        <v>224</v>
      </c>
    </row>
    <row r="52" spans="1:11">
      <c r="A52" s="29">
        <f>SUMPRODUCT($C$49:$E$49,C52:E52)+$B$49</f>
        <v>537.52244475576276</v>
      </c>
      <c r="B52" s="25">
        <v>557</v>
      </c>
      <c r="C52" s="25">
        <v>75.73</v>
      </c>
      <c r="D52" s="25">
        <v>36.200000000000003</v>
      </c>
      <c r="E52" s="25">
        <v>32.6</v>
      </c>
      <c r="G52" s="25">
        <f>SUMPRODUCT($I$49:$K$49,I52:K52)</f>
        <v>0.99614650108561187</v>
      </c>
      <c r="H52" s="29">
        <f t="shared" ref="H52:H63" si="0">(B52-B$64)/B$65</f>
        <v>1.1364672898047219</v>
      </c>
      <c r="I52" s="29">
        <f t="shared" ref="I52:I63" si="1">(C52-C$64)/C$65</f>
        <v>0.6420294651765136</v>
      </c>
      <c r="J52" s="29">
        <f t="shared" ref="J52:J63" si="2">(D52-D$64)/D$65</f>
        <v>-0.58762967604561078</v>
      </c>
      <c r="K52" s="29">
        <f t="shared" ref="K52:K63" si="3">(E52-E$64)/E$65</f>
        <v>1.0167251378347844</v>
      </c>
    </row>
    <row r="53" spans="1:11">
      <c r="A53" s="29">
        <f t="shared" ref="A53:A63" si="4">SUMPRODUCT($C$49:$E$49,C53:E53)+$B$49</f>
        <v>180.82881256188989</v>
      </c>
      <c r="B53" s="25">
        <v>149</v>
      </c>
      <c r="C53" s="25">
        <v>35.11</v>
      </c>
      <c r="D53" s="25">
        <v>65.599999999999994</v>
      </c>
      <c r="E53" s="25">
        <v>29.2</v>
      </c>
      <c r="G53" s="25">
        <f t="shared" ref="G53:G63" si="5">SUMPRODUCT($I$49:$K$49,I53:K53)</f>
        <v>-1.5735564812914005</v>
      </c>
      <c r="H53" s="29">
        <f t="shared" si="0"/>
        <v>-1.8028585690879979</v>
      </c>
      <c r="I53" s="29">
        <f t="shared" si="1"/>
        <v>-1.9735229168179729</v>
      </c>
      <c r="J53" s="29">
        <f t="shared" si="2"/>
        <v>1.3426845670539378</v>
      </c>
      <c r="K53" s="29">
        <f t="shared" si="3"/>
        <v>-0.69742302843212367</v>
      </c>
    </row>
    <row r="54" spans="1:11">
      <c r="A54" s="29">
        <f t="shared" si="4"/>
        <v>330.8943728384445</v>
      </c>
      <c r="B54" s="25">
        <v>326</v>
      </c>
      <c r="C54" s="25">
        <v>57.24</v>
      </c>
      <c r="D54" s="25">
        <v>61.4</v>
      </c>
      <c r="E54" s="25">
        <v>29.5</v>
      </c>
      <c r="G54" s="25">
        <f t="shared" si="5"/>
        <v>-0.49244966303134785</v>
      </c>
      <c r="H54" s="29">
        <f t="shared" si="0"/>
        <v>-0.52770985089189149</v>
      </c>
      <c r="I54" s="29">
        <f t="shared" si="1"/>
        <v>-0.54855555557873148</v>
      </c>
      <c r="J54" s="29">
        <f t="shared" si="2"/>
        <v>1.0669253894682882</v>
      </c>
      <c r="K54" s="29">
        <f t="shared" si="3"/>
        <v>-0.54617466082033739</v>
      </c>
    </row>
    <row r="55" spans="1:11">
      <c r="A55" s="29">
        <f t="shared" si="4"/>
        <v>512.63588768905561</v>
      </c>
      <c r="B55" s="25">
        <v>486</v>
      </c>
      <c r="C55" s="25">
        <v>94.62</v>
      </c>
      <c r="D55" s="25">
        <v>23.8</v>
      </c>
      <c r="E55" s="25">
        <v>30</v>
      </c>
      <c r="G55" s="25">
        <f t="shared" si="5"/>
        <v>0.81685801891653531</v>
      </c>
      <c r="H55" s="29">
        <f t="shared" si="0"/>
        <v>0.62496695651701817</v>
      </c>
      <c r="I55" s="29">
        <f t="shared" si="1"/>
        <v>1.858370787083846</v>
      </c>
      <c r="J55" s="29">
        <f t="shared" si="2"/>
        <v>-1.4017758193937202</v>
      </c>
      <c r="K55" s="29">
        <f t="shared" si="3"/>
        <v>-0.29409404813402756</v>
      </c>
    </row>
    <row r="56" spans="1:11">
      <c r="A56" s="29">
        <f t="shared" si="4"/>
        <v>310.24517611866736</v>
      </c>
      <c r="B56" s="25">
        <v>282</v>
      </c>
      <c r="C56" s="25">
        <v>64.349999999999994</v>
      </c>
      <c r="D56" s="25">
        <v>46.4</v>
      </c>
      <c r="E56" s="25">
        <v>28.8</v>
      </c>
      <c r="G56" s="25">
        <f t="shared" si="5"/>
        <v>-0.64121122647204354</v>
      </c>
      <c r="H56" s="29">
        <f t="shared" si="0"/>
        <v>-0.84469597292934162</v>
      </c>
      <c r="I56" s="29">
        <f t="shared" si="1"/>
        <v>-9.0737302600376601E-2</v>
      </c>
      <c r="J56" s="29">
        <f t="shared" si="2"/>
        <v>8.207118380525294E-2</v>
      </c>
      <c r="K56" s="29">
        <f t="shared" si="3"/>
        <v>-0.89908751858117086</v>
      </c>
    </row>
    <row r="57" spans="1:11">
      <c r="A57" s="29">
        <f t="shared" si="4"/>
        <v>560.37439565694308</v>
      </c>
      <c r="B57" s="25">
        <v>547</v>
      </c>
      <c r="C57" s="25">
        <v>73.22</v>
      </c>
      <c r="D57" s="25">
        <v>37.200000000000003</v>
      </c>
      <c r="E57" s="25">
        <v>33.4</v>
      </c>
      <c r="G57" s="25">
        <f t="shared" si="5"/>
        <v>1.1607772123845936</v>
      </c>
      <c r="H57" s="29">
        <f t="shared" si="0"/>
        <v>1.0644249893416651</v>
      </c>
      <c r="I57" s="29">
        <f t="shared" si="1"/>
        <v>0.48040867544716415</v>
      </c>
      <c r="J57" s="29">
        <f t="shared" si="2"/>
        <v>-0.52197272900140845</v>
      </c>
      <c r="K57" s="29">
        <f t="shared" si="3"/>
        <v>1.4200541181328787</v>
      </c>
    </row>
    <row r="58" spans="1:11">
      <c r="A58" s="29">
        <f t="shared" si="4"/>
        <v>449.44631205321571</v>
      </c>
      <c r="B58" s="25">
        <v>538</v>
      </c>
      <c r="C58" s="25">
        <v>72.930000000000007</v>
      </c>
      <c r="D58" s="25">
        <v>32.200000000000003</v>
      </c>
      <c r="E58" s="25">
        <v>31.3</v>
      </c>
      <c r="G58" s="25">
        <f t="shared" si="5"/>
        <v>0.36162577950751307</v>
      </c>
      <c r="H58" s="29">
        <f t="shared" si="0"/>
        <v>0.99958691892491391</v>
      </c>
      <c r="I58" s="29">
        <f t="shared" si="1"/>
        <v>0.46173535711190122</v>
      </c>
      <c r="J58" s="29">
        <f t="shared" si="2"/>
        <v>-0.85025746422242021</v>
      </c>
      <c r="K58" s="29">
        <f t="shared" si="3"/>
        <v>0.36131554485037842</v>
      </c>
    </row>
    <row r="59" spans="1:11">
      <c r="A59" s="29">
        <f t="shared" si="4"/>
        <v>331.39691716273387</v>
      </c>
      <c r="B59" s="25">
        <v>393</v>
      </c>
      <c r="C59" s="25">
        <v>65.52</v>
      </c>
      <c r="D59" s="25">
        <v>46.2</v>
      </c>
      <c r="E59" s="25">
        <v>29.1</v>
      </c>
      <c r="G59" s="25">
        <f t="shared" si="5"/>
        <v>-0.48882921811070101</v>
      </c>
      <c r="H59" s="29">
        <f t="shared" si="0"/>
        <v>-4.5026437789410532E-2</v>
      </c>
      <c r="I59" s="29">
        <f t="shared" si="1"/>
        <v>-1.5400121730520537E-2</v>
      </c>
      <c r="J59" s="29">
        <f t="shared" si="2"/>
        <v>6.8939794396412749E-2</v>
      </c>
      <c r="K59" s="29">
        <f t="shared" si="3"/>
        <v>-0.74783915096938458</v>
      </c>
    </row>
    <row r="60" spans="1:11">
      <c r="A60" s="29">
        <f t="shared" si="4"/>
        <v>551.36746784754155</v>
      </c>
      <c r="B60" s="25">
        <v>484</v>
      </c>
      <c r="C60" s="25">
        <v>80.86</v>
      </c>
      <c r="D60" s="25">
        <v>23.7</v>
      </c>
      <c r="E60" s="25">
        <v>32.799999999999997</v>
      </c>
      <c r="G60" s="25">
        <f t="shared" si="5"/>
        <v>1.0958892324351981</v>
      </c>
      <c r="H60" s="29">
        <f t="shared" si="0"/>
        <v>0.61055849642440685</v>
      </c>
      <c r="I60" s="29">
        <f t="shared" si="1"/>
        <v>0.97235402745203547</v>
      </c>
      <c r="J60" s="29">
        <f t="shared" si="2"/>
        <v>-1.4083415140981403</v>
      </c>
      <c r="K60" s="29">
        <f t="shared" si="3"/>
        <v>1.1175573829093062</v>
      </c>
    </row>
    <row r="61" spans="1:11">
      <c r="A61" s="29">
        <f t="shared" si="4"/>
        <v>259.92587626838326</v>
      </c>
      <c r="B61" s="25">
        <v>253</v>
      </c>
      <c r="C61" s="25">
        <v>61.83</v>
      </c>
      <c r="D61" s="25">
        <v>51.8</v>
      </c>
      <c r="E61" s="25">
        <v>27.8</v>
      </c>
      <c r="G61" s="25">
        <f t="shared" si="5"/>
        <v>-1.0037230383625249</v>
      </c>
      <c r="H61" s="29">
        <f t="shared" si="0"/>
        <v>-1.0536186442722064</v>
      </c>
      <c r="I61" s="29">
        <f t="shared" si="1"/>
        <v>-0.25300199985852762</v>
      </c>
      <c r="J61" s="29">
        <f t="shared" si="2"/>
        <v>0.43661869784394558</v>
      </c>
      <c r="K61" s="29">
        <f t="shared" si="3"/>
        <v>-1.4032487439537906</v>
      </c>
    </row>
    <row r="62" spans="1:11">
      <c r="A62" s="29">
        <f t="shared" si="4"/>
        <v>273.64329962174202</v>
      </c>
      <c r="B62" s="25">
        <v>270</v>
      </c>
      <c r="C62" s="25">
        <v>47.83</v>
      </c>
      <c r="D62" s="25">
        <v>69.400000000000006</v>
      </c>
      <c r="E62" s="25">
        <v>29.2</v>
      </c>
      <c r="G62" s="25">
        <f t="shared" si="5"/>
        <v>-0.90489956488236256</v>
      </c>
      <c r="H62" s="29">
        <f t="shared" si="0"/>
        <v>-0.93114673348500987</v>
      </c>
      <c r="I62" s="29">
        <f t="shared" si="1"/>
        <v>-1.1544725401815903</v>
      </c>
      <c r="J62" s="29">
        <f t="shared" si="2"/>
        <v>1.5921809658219075</v>
      </c>
      <c r="K62" s="29">
        <f t="shared" si="3"/>
        <v>-0.69742302843212367</v>
      </c>
    </row>
    <row r="63" spans="1:11">
      <c r="A63" s="29">
        <f t="shared" si="4"/>
        <v>492.71903742561949</v>
      </c>
      <c r="B63" s="25">
        <v>506</v>
      </c>
      <c r="C63" s="25">
        <v>59.87</v>
      </c>
      <c r="D63" s="25">
        <v>47.9</v>
      </c>
      <c r="E63" s="25">
        <v>33.299999999999997</v>
      </c>
      <c r="G63" s="25">
        <f t="shared" si="5"/>
        <v>0.67337244782092043</v>
      </c>
      <c r="H63" s="29">
        <f t="shared" si="0"/>
        <v>0.76905155744313192</v>
      </c>
      <c r="I63" s="29">
        <f t="shared" si="1"/>
        <v>-0.37920787550375645</v>
      </c>
      <c r="J63" s="29">
        <f t="shared" si="2"/>
        <v>0.18055660437155646</v>
      </c>
      <c r="K63" s="29">
        <f t="shared" si="3"/>
        <v>1.3696379955956159</v>
      </c>
    </row>
    <row r="64" spans="1:11">
      <c r="A64" s="25" t="s">
        <v>196</v>
      </c>
      <c r="B64" s="33">
        <f>AVERAGE(B52:B63)</f>
        <v>399.25</v>
      </c>
      <c r="C64" s="33">
        <f>AVERAGE(C52:C63)</f>
        <v>65.759166666666687</v>
      </c>
      <c r="D64" s="33">
        <f>AVERAGE(D52:D63)</f>
        <v>45.15</v>
      </c>
      <c r="E64" s="33">
        <f>AVERAGE(E52:E63)</f>
        <v>30.583333333333332</v>
      </c>
      <c r="H64" s="33">
        <f>AVERAGE(H52:H63)</f>
        <v>0</v>
      </c>
      <c r="I64" s="33">
        <f>AVERAGE(I52:I63)</f>
        <v>-1.2952601953960159E-15</v>
      </c>
      <c r="J64" s="33">
        <f>AVERAGE(J52:J63)</f>
        <v>8.7892656116158222E-17</v>
      </c>
      <c r="K64" s="33">
        <f>AVERAGE(K52:K63)</f>
        <v>4.2558549277297669E-16</v>
      </c>
    </row>
    <row r="65" spans="1:16">
      <c r="A65" s="25" t="s">
        <v>244</v>
      </c>
      <c r="B65" s="33">
        <f>STDEV(B52:B63)</f>
        <v>138.80733868469372</v>
      </c>
      <c r="C65" s="33">
        <f>STDEV(C52:C63)</f>
        <v>15.530180270763788</v>
      </c>
      <c r="D65" s="33">
        <f>STDEV(D52:D63)</f>
        <v>15.230680758378364</v>
      </c>
      <c r="E65" s="33">
        <f>STDEV(E52:E63)</f>
        <v>1.9834924815190054</v>
      </c>
      <c r="H65" s="33">
        <f>STDEV(H52:H63)</f>
        <v>1</v>
      </c>
      <c r="I65" s="33">
        <f>STDEV(I52:I63)</f>
        <v>1.0000000000000071</v>
      </c>
      <c r="J65" s="33">
        <f>STDEV(J52:J63)</f>
        <v>0.99999999999999878</v>
      </c>
      <c r="K65" s="33">
        <f>STDEV(K52:K63)</f>
        <v>1</v>
      </c>
    </row>
    <row r="66" spans="1:16">
      <c r="A66" s="25">
        <f>CORREL(A52:A63,B52:B63)</f>
        <v>0.95284937048981488</v>
      </c>
      <c r="G66" s="25">
        <f>CORREL(G52:G63,H52:H63)</f>
        <v>0.95284937048981522</v>
      </c>
    </row>
    <row r="67" spans="1:16">
      <c r="H67" s="109" t="s">
        <v>197</v>
      </c>
      <c r="I67" s="109"/>
      <c r="J67" s="109"/>
      <c r="K67" s="109"/>
    </row>
    <row r="68" spans="1:16">
      <c r="I68" s="26" t="s">
        <v>283</v>
      </c>
      <c r="J68" s="26" t="s">
        <v>263</v>
      </c>
      <c r="K68" s="26" t="s">
        <v>224</v>
      </c>
    </row>
    <row r="69" spans="1:16">
      <c r="H69" s="26" t="s">
        <v>283</v>
      </c>
      <c r="I69" s="29">
        <f>CORREL($I$52:$I$63,I52:I63)</f>
        <v>0.99999999999999989</v>
      </c>
      <c r="J69" s="29">
        <f>CORREL($I$52:$I$63,J52:J63)</f>
        <v>-0.93233761909487523</v>
      </c>
      <c r="K69" s="29">
        <f>CORREL($I$52:$I$63,K52:K63)</f>
        <v>0.40471087584412418</v>
      </c>
    </row>
    <row r="70" spans="1:16">
      <c r="H70" s="26" t="s">
        <v>263</v>
      </c>
      <c r="I70" s="29">
        <f>CORREL($J$52:$J$63,I52:I63)</f>
        <v>-0.93233761909487523</v>
      </c>
      <c r="J70" s="29">
        <f>CORREL($J$52:$J$63,J52:J63)</f>
        <v>1.0000000000000002</v>
      </c>
      <c r="K70" s="29">
        <f>CORREL($J$52:$J$63,K52:K63)</f>
        <v>-0.53889546234177332</v>
      </c>
    </row>
    <row r="71" spans="1:16">
      <c r="H71" s="26" t="s">
        <v>224</v>
      </c>
      <c r="I71" s="29">
        <f>CORREL($K$52:$K$63,I52:I63)</f>
        <v>0.40471087584412418</v>
      </c>
      <c r="J71" s="29">
        <f>CORREL($K$52:$K$63,J52:J63)</f>
        <v>-0.53889546234177332</v>
      </c>
      <c r="K71" s="29">
        <f>CORREL($K$52:$K$63,K52:K63)</f>
        <v>1.0000000000000002</v>
      </c>
    </row>
    <row r="73" spans="1:16">
      <c r="H73" s="109" t="s">
        <v>198</v>
      </c>
      <c r="I73" s="109"/>
      <c r="J73" s="109"/>
      <c r="K73" s="109"/>
      <c r="M73" s="10"/>
      <c r="N73" s="10"/>
      <c r="O73" s="10"/>
      <c r="P73" s="10"/>
    </row>
    <row r="74" spans="1:16">
      <c r="H74" s="10"/>
      <c r="I74" s="10" t="s">
        <v>193</v>
      </c>
      <c r="J74" s="10" t="s">
        <v>194</v>
      </c>
      <c r="K74" s="10" t="s">
        <v>195</v>
      </c>
      <c r="M74" s="9"/>
      <c r="N74" s="9"/>
      <c r="O74" s="9"/>
      <c r="P74" s="9"/>
    </row>
    <row r="75" spans="1:16">
      <c r="H75" s="9" t="s">
        <v>198</v>
      </c>
      <c r="I75" s="9">
        <v>2.2809865548276651</v>
      </c>
      <c r="J75" s="9">
        <v>0.6640682649739662</v>
      </c>
      <c r="K75" s="9">
        <v>5.4945180198368991E-2</v>
      </c>
      <c r="M75" s="9"/>
      <c r="N75" s="9"/>
      <c r="O75" s="9"/>
      <c r="P75" s="9"/>
    </row>
    <row r="76" spans="1:16">
      <c r="H76" s="9" t="s">
        <v>286</v>
      </c>
      <c r="I76" s="9">
        <f>I75/SUM(I75:K75)</f>
        <v>0.76032885160922159</v>
      </c>
      <c r="J76" s="9">
        <f>J75/SUM(I75:K75)</f>
        <v>0.22135608832465536</v>
      </c>
      <c r="K76" s="9">
        <f>K75/SUM(I75:K75)</f>
        <v>1.8315060066122994E-2</v>
      </c>
      <c r="M76" s="9"/>
      <c r="N76" s="9"/>
      <c r="O76" s="9"/>
      <c r="P76" s="9"/>
    </row>
    <row r="77" spans="1:16">
      <c r="H77" s="9" t="s">
        <v>301</v>
      </c>
      <c r="I77" s="9">
        <f>I76</f>
        <v>0.76032885160922159</v>
      </c>
      <c r="J77" s="9">
        <f>I77+J76</f>
        <v>0.98168493993387695</v>
      </c>
      <c r="K77" s="9">
        <f>J77+K76</f>
        <v>1</v>
      </c>
      <c r="M77" s="9"/>
      <c r="N77" s="9"/>
      <c r="O77" s="9"/>
      <c r="P77" s="9"/>
    </row>
    <row r="78" spans="1:16">
      <c r="H78" s="9"/>
      <c r="I78" s="9"/>
      <c r="J78" s="9"/>
      <c r="K78" s="9"/>
      <c r="M78" s="9"/>
      <c r="N78" s="9"/>
      <c r="O78" s="9"/>
      <c r="P78" s="9"/>
    </row>
    <row r="79" spans="1:16">
      <c r="H79" s="109" t="s">
        <v>302</v>
      </c>
      <c r="I79" s="109"/>
      <c r="J79" s="109"/>
      <c r="K79" s="109"/>
      <c r="M79" s="9"/>
      <c r="N79" s="9"/>
      <c r="O79" s="9"/>
      <c r="P79" s="9"/>
    </row>
    <row r="80" spans="1:16">
      <c r="H80" s="9"/>
      <c r="I80" s="9" t="s">
        <v>193</v>
      </c>
      <c r="J80" s="9" t="s">
        <v>194</v>
      </c>
      <c r="K80" s="9" t="s">
        <v>195</v>
      </c>
      <c r="M80" s="9"/>
      <c r="N80" s="9"/>
      <c r="O80" s="9"/>
      <c r="P80" s="9"/>
    </row>
    <row r="81" spans="8:16">
      <c r="H81" s="26" t="s">
        <v>303</v>
      </c>
      <c r="I81" s="9">
        <v>-0.61254722012439466</v>
      </c>
      <c r="J81" s="9">
        <v>-0.42459393548240409</v>
      </c>
      <c r="K81" s="9">
        <v>0.66671275154255183</v>
      </c>
      <c r="M81" s="9"/>
      <c r="N81" s="9"/>
      <c r="O81" s="9"/>
      <c r="P81" s="9"/>
    </row>
    <row r="82" spans="8:16">
      <c r="H82" s="26" t="s">
        <v>263</v>
      </c>
      <c r="I82" s="9">
        <v>0.64061859198812876</v>
      </c>
      <c r="J82" s="9">
        <v>0.22742392684738072</v>
      </c>
      <c r="K82" s="9">
        <v>0.73340723823566434</v>
      </c>
      <c r="M82" s="9"/>
      <c r="N82" s="9"/>
      <c r="O82" s="9"/>
      <c r="P82" s="9"/>
    </row>
    <row r="83" spans="8:16">
      <c r="H83" s="26" t="s">
        <v>224</v>
      </c>
      <c r="I83" s="9">
        <v>-0.46302669762879123</v>
      </c>
      <c r="J83" s="9">
        <v>0.87635514915408652</v>
      </c>
      <c r="K83" s="9">
        <v>0.13269487493529933</v>
      </c>
      <c r="M83" s="9"/>
      <c r="N83" s="9"/>
      <c r="O83" s="9"/>
      <c r="P83" s="9"/>
    </row>
    <row r="85" spans="8:16">
      <c r="H85" s="109" t="s">
        <v>304</v>
      </c>
      <c r="I85" s="109"/>
      <c r="J85" s="109"/>
      <c r="K85" s="109"/>
    </row>
    <row r="86" spans="8:16">
      <c r="H86" s="26" t="s">
        <v>509</v>
      </c>
      <c r="I86" s="26" t="s">
        <v>193</v>
      </c>
      <c r="J86" s="26" t="s">
        <v>194</v>
      </c>
      <c r="K86" s="26" t="s">
        <v>195</v>
      </c>
    </row>
    <row r="87" spans="8:16">
      <c r="H87" s="29">
        <f>H52</f>
        <v>1.1364672898047219</v>
      </c>
      <c r="I87" s="29">
        <f t="array" ref="I87:K98">MMULT(I52:K63,I81:K83)</f>
        <v>-1.2404907427784224</v>
      </c>
      <c r="J87" s="29">
        <v>0.48476944404260558</v>
      </c>
      <c r="K87" s="29">
        <v>0.13199158849385847</v>
      </c>
    </row>
    <row r="88" spans="8:16">
      <c r="H88" s="29">
        <f t="shared" ref="H88:H98" si="6">H53</f>
        <v>-1.8028585690879979</v>
      </c>
      <c r="I88" s="29">
        <v>2.3919501550841171</v>
      </c>
      <c r="J88" s="29">
        <v>0.53211419666810966</v>
      </c>
      <c r="K88" s="29">
        <v>-0.42358277549411438</v>
      </c>
    </row>
    <row r="89" spans="8:16">
      <c r="H89" s="29">
        <f t="shared" si="6"/>
        <v>-0.52770985089189149</v>
      </c>
      <c r="I89" s="29">
        <v>1.2724018709392713</v>
      </c>
      <c r="J89" s="29">
        <v>-3.0852524474299647E-3</v>
      </c>
      <c r="K89" s="29">
        <v>0.34428724114921427</v>
      </c>
    </row>
    <row r="90" spans="8:16">
      <c r="H90" s="29">
        <f t="shared" si="6"/>
        <v>0.62496695651701817</v>
      </c>
      <c r="I90" s="29">
        <v>-1.9001701153918222</v>
      </c>
      <c r="J90" s="29">
        <v>-1.3655811608975124</v>
      </c>
      <c r="K90" s="29">
        <v>0.17190219557952408</v>
      </c>
    </row>
    <row r="91" spans="8:16">
      <c r="H91" s="29">
        <f t="shared" si="6"/>
        <v>-0.84469597292934162</v>
      </c>
      <c r="I91" s="29">
        <v>0.52445873328947079</v>
      </c>
      <c r="J91" s="29">
        <v>-0.73072851714062403</v>
      </c>
      <c r="K91" s="29">
        <v>-0.11960842226492116</v>
      </c>
    </row>
    <row r="92" spans="8:16">
      <c r="H92" s="29">
        <f t="shared" si="6"/>
        <v>1.0644249893416651</v>
      </c>
      <c r="I92" s="29">
        <v>-1.2861814021511186</v>
      </c>
      <c r="J92" s="29">
        <v>0.92178404061846941</v>
      </c>
      <c r="K92" s="29">
        <v>0.12590991586803491</v>
      </c>
    </row>
    <row r="93" spans="8:16">
      <c r="H93" s="29">
        <f t="shared" si="6"/>
        <v>0.99958691892491391</v>
      </c>
      <c r="I93" s="29">
        <v>-0.99482419252362142</v>
      </c>
      <c r="J93" s="29">
        <v>-7.2778185573231069E-2</v>
      </c>
      <c r="K93" s="29">
        <v>-0.26779540716396544</v>
      </c>
    </row>
    <row r="94" spans="8:16">
      <c r="H94" s="29">
        <f t="shared" si="6"/>
        <v>-4.5026437789410532E-2</v>
      </c>
      <c r="I94" s="29">
        <v>0.39986690820466186</v>
      </c>
      <c r="J94" s="29">
        <v>-0.63315533364088739</v>
      </c>
      <c r="K94" s="29">
        <v>-5.8940935929840919E-2</v>
      </c>
    </row>
    <row r="95" spans="8:16">
      <c r="H95" s="29">
        <f t="shared" si="6"/>
        <v>0.61055849642440685</v>
      </c>
      <c r="I95" s="29">
        <v>-2.0152814187116541</v>
      </c>
      <c r="J95" s="29">
        <v>0.24623098631132545</v>
      </c>
      <c r="K95" s="29">
        <v>-0.23631289407315165</v>
      </c>
    </row>
    <row r="96" spans="8:16">
      <c r="H96" s="29">
        <f t="shared" si="6"/>
        <v>-1.0536186442722064</v>
      </c>
      <c r="I96" s="29">
        <v>1.0844233590124053</v>
      </c>
      <c r="J96" s="29">
        <v>-1.0230236087043978</v>
      </c>
      <c r="K96" s="29">
        <v>-3.4664262705731225E-2</v>
      </c>
    </row>
    <row r="97" spans="8:19">
      <c r="H97" s="29">
        <f t="shared" si="6"/>
        <v>-0.93114673348500987</v>
      </c>
      <c r="I97" s="29">
        <v>2.0500751554185079</v>
      </c>
      <c r="J97" s="29">
        <v>0.24109182463581436</v>
      </c>
      <c r="K97" s="29">
        <v>0.30547101953525213</v>
      </c>
    </row>
    <row r="98" spans="8:19">
      <c r="H98" s="29">
        <f t="shared" si="6"/>
        <v>0.76905155744313192</v>
      </c>
      <c r="I98" s="29">
        <v>-0.28622831039178731</v>
      </c>
      <c r="J98" s="29">
        <v>1.40236156612777</v>
      </c>
      <c r="K98" s="29">
        <v>6.1342737005832093E-2</v>
      </c>
    </row>
    <row r="100" spans="8:19">
      <c r="H100" s="109" t="s">
        <v>290</v>
      </c>
      <c r="I100" s="109"/>
      <c r="J100" s="109"/>
      <c r="K100" s="109"/>
      <c r="L100" s="109"/>
      <c r="M100" s="109"/>
      <c r="N100" s="109"/>
      <c r="O100" s="109"/>
      <c r="P100" s="109"/>
      <c r="Q100" s="109"/>
      <c r="R100" s="109"/>
      <c r="S100" s="109"/>
    </row>
    <row r="101" spans="8:19">
      <c r="H101" s="29">
        <f t="array" ref="H101:S103">TRANSPOSE(I87:K98)</f>
        <v>-1.2404907427784224</v>
      </c>
      <c r="I101" s="29">
        <v>2.3919501550841171</v>
      </c>
      <c r="J101" s="29">
        <v>1.2724018709392713</v>
      </c>
      <c r="K101" s="29">
        <v>-1.9001701153918222</v>
      </c>
      <c r="L101" s="29">
        <v>0.52445873328947079</v>
      </c>
      <c r="M101" s="29">
        <v>-1.2861814021511186</v>
      </c>
      <c r="N101" s="29">
        <v>-0.99482419252362142</v>
      </c>
      <c r="O101" s="29">
        <v>0.39986690820466186</v>
      </c>
      <c r="P101" s="29">
        <v>-2.0152814187116541</v>
      </c>
      <c r="Q101" s="29">
        <v>1.0844233590124053</v>
      </c>
      <c r="R101" s="29">
        <v>2.0500751554185079</v>
      </c>
      <c r="S101" s="29">
        <v>-0.28622831039178731</v>
      </c>
    </row>
    <row r="102" spans="8:19">
      <c r="H102" s="29">
        <v>0.48476944404260558</v>
      </c>
      <c r="I102" s="29">
        <v>0.53211419666810966</v>
      </c>
      <c r="J102" s="29">
        <v>-3.0852524474299647E-3</v>
      </c>
      <c r="K102" s="29">
        <v>-1.3655811608975124</v>
      </c>
      <c r="L102" s="29">
        <v>-0.73072851714062403</v>
      </c>
      <c r="M102" s="29">
        <v>0.92178404061846941</v>
      </c>
      <c r="N102" s="29">
        <v>-7.2778185573231069E-2</v>
      </c>
      <c r="O102" s="29">
        <v>-0.63315533364088739</v>
      </c>
      <c r="P102" s="29">
        <v>0.24623098631132545</v>
      </c>
      <c r="Q102" s="29">
        <v>-1.0230236087043978</v>
      </c>
      <c r="R102" s="29">
        <v>0.24109182463581436</v>
      </c>
      <c r="S102" s="29">
        <v>1.40236156612777</v>
      </c>
    </row>
    <row r="103" spans="8:19">
      <c r="H103" s="29">
        <v>0.13199158849385847</v>
      </c>
      <c r="I103" s="29">
        <v>-0.42358277549411438</v>
      </c>
      <c r="J103" s="29">
        <v>0.34428724114921427</v>
      </c>
      <c r="K103" s="29">
        <v>0.17190219557952408</v>
      </c>
      <c r="L103" s="29">
        <v>-0.11960842226492116</v>
      </c>
      <c r="M103" s="29">
        <v>0.12590991586803491</v>
      </c>
      <c r="N103" s="29">
        <v>-0.26779540716396544</v>
      </c>
      <c r="O103" s="29">
        <v>-5.8940935929840919E-2</v>
      </c>
      <c r="P103" s="29">
        <v>-0.23631289407315165</v>
      </c>
      <c r="Q103" s="29">
        <v>-3.4664262705731225E-2</v>
      </c>
      <c r="R103" s="29">
        <v>0.30547101953525213</v>
      </c>
      <c r="S103" s="29">
        <v>6.1342737005832093E-2</v>
      </c>
    </row>
    <row r="105" spans="8:19">
      <c r="H105" s="109" t="s">
        <v>291</v>
      </c>
      <c r="I105" s="109"/>
      <c r="L105" s="109" t="s">
        <v>292</v>
      </c>
      <c r="M105" s="109"/>
      <c r="P105" s="28" t="s">
        <v>293</v>
      </c>
      <c r="S105" s="36" t="s">
        <v>294</v>
      </c>
    </row>
    <row r="106" spans="8:19">
      <c r="H106" s="29">
        <f t="array" ref="H106:J108">MMULT(H101:S103,I87:K98)</f>
        <v>25.090852103104428</v>
      </c>
      <c r="I106" s="29">
        <v>-9.7736224669020544E-10</v>
      </c>
      <c r="J106" s="29">
        <v>-9.3567514847237021E-14</v>
      </c>
      <c r="L106" s="29">
        <f t="array" ref="L106:N108">MINVERSE(H106:J108)</f>
        <v>3.9855162984929977E-2</v>
      </c>
      <c r="M106" s="29">
        <v>5.3325475559603651E-12</v>
      </c>
      <c r="N106" s="29">
        <v>6.1700317247896411E-15</v>
      </c>
      <c r="P106" s="29">
        <f t="array" ref="P106:P108">MMULT(H101:S103,H87:H98)</f>
        <v>-14.907658133541553</v>
      </c>
      <c r="R106" s="26" t="s">
        <v>295</v>
      </c>
      <c r="S106" s="29">
        <f t="array" ref="S106:S108">MMULT(L106:N108,P106:P108)</f>
        <v>-0.59414714462324159</v>
      </c>
    </row>
    <row r="107" spans="8:19">
      <c r="H107" s="29">
        <v>-9.7736224669020544E-10</v>
      </c>
      <c r="I107" s="29">
        <v>7.3047509147136438</v>
      </c>
      <c r="J107" s="29">
        <v>-1.8554602299047929E-14</v>
      </c>
      <c r="L107" s="29">
        <v>5.3325475559603635E-12</v>
      </c>
      <c r="M107" s="29">
        <v>0.13689720726626603</v>
      </c>
      <c r="N107" s="29">
        <v>4.2026570483598439E-15</v>
      </c>
      <c r="P107" s="29">
        <v>2.376168653450037</v>
      </c>
      <c r="R107" s="26" t="s">
        <v>296</v>
      </c>
      <c r="S107" s="29">
        <v>0.32529085257146012</v>
      </c>
    </row>
    <row r="108" spans="8:19">
      <c r="H108" s="29">
        <v>-9.3567514847237021E-14</v>
      </c>
      <c r="I108" s="29">
        <v>-1.8554602299047929E-14</v>
      </c>
      <c r="J108" s="29">
        <v>0.60439698218206006</v>
      </c>
      <c r="L108" s="29">
        <v>6.1700317247896418E-15</v>
      </c>
      <c r="M108" s="29">
        <v>4.2026570483598439E-15</v>
      </c>
      <c r="N108" s="29">
        <v>1.6545416828351636</v>
      </c>
      <c r="P108" s="29">
        <v>0.46441436417972892</v>
      </c>
      <c r="R108" s="26" t="s">
        <v>305</v>
      </c>
      <c r="S108" s="29">
        <v>0.7683929236426692</v>
      </c>
    </row>
  </sheetData>
  <mergeCells count="18">
    <mergeCell ref="H105:I105"/>
    <mergeCell ref="L105:M105"/>
    <mergeCell ref="H21:K21"/>
    <mergeCell ref="H36:S36"/>
    <mergeCell ref="H41:I41"/>
    <mergeCell ref="K41:L41"/>
    <mergeCell ref="H67:K67"/>
    <mergeCell ref="H73:K73"/>
    <mergeCell ref="H79:K79"/>
    <mergeCell ref="H85:K85"/>
    <mergeCell ref="H100:S100"/>
    <mergeCell ref="C50:E50"/>
    <mergeCell ref="H50:K50"/>
    <mergeCell ref="P2:S2"/>
    <mergeCell ref="C3:E3"/>
    <mergeCell ref="H3:K3"/>
    <mergeCell ref="P8:S8"/>
    <mergeCell ref="P14:S14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34"/>
  <sheetViews>
    <sheetView topLeftCell="A70" zoomScale="55" zoomScaleNormal="55" workbookViewId="0">
      <selection activeCell="P87" sqref="P87:AC100"/>
    </sheetView>
  </sheetViews>
  <sheetFormatPr defaultRowHeight="17.399999999999999"/>
  <cols>
    <col min="1" max="1" width="9.19921875" style="37" bestFit="1" customWidth="1"/>
    <col min="2" max="2" width="20" style="37" bestFit="1" customWidth="1"/>
    <col min="3" max="3" width="9.8984375" style="37" bestFit="1" customWidth="1"/>
    <col min="4" max="4" width="18.09765625" style="37" bestFit="1" customWidth="1"/>
    <col min="5" max="5" width="7" style="37" bestFit="1" customWidth="1"/>
    <col min="6" max="6" width="6.796875" style="37" bestFit="1" customWidth="1"/>
    <col min="7" max="7" width="9.19921875" style="37" bestFit="1" customWidth="1"/>
    <col min="8" max="8" width="20" style="37" bestFit="1" customWidth="1"/>
    <col min="9" max="9" width="9.8984375" style="37" bestFit="1" customWidth="1"/>
    <col min="10" max="10" width="18.09765625" style="37" bestFit="1" customWidth="1"/>
    <col min="11" max="11" width="9.8984375" style="37" bestFit="1" customWidth="1"/>
    <col min="12" max="13" width="6.796875" style="37" bestFit="1" customWidth="1"/>
    <col min="14" max="14" width="4.09765625" style="37" customWidth="1"/>
    <col min="15" max="15" width="8.296875" style="37" bestFit="1" customWidth="1"/>
    <col min="16" max="16" width="20" style="37" bestFit="1" customWidth="1"/>
    <col min="17" max="17" width="7.796875" style="37" bestFit="1" customWidth="1"/>
    <col min="18" max="19" width="6.796875" style="37" bestFit="1" customWidth="1"/>
    <col min="20" max="20" width="7.8984375" style="37" bestFit="1" customWidth="1"/>
    <col min="21" max="22" width="6.796875" style="37" bestFit="1" customWidth="1"/>
    <col min="23" max="23" width="7" style="37" bestFit="1" customWidth="1"/>
    <col min="24" max="28" width="6.796875" style="37" bestFit="1" customWidth="1"/>
    <col min="29" max="34" width="8.796875" style="37"/>
    <col min="35" max="35" width="5.796875" style="37" bestFit="1" customWidth="1"/>
    <col min="36" max="16384" width="8.796875" style="37"/>
  </cols>
  <sheetData>
    <row r="1" spans="1:28" ht="17.399999999999999" customHeight="1">
      <c r="J1" s="113" t="s">
        <v>306</v>
      </c>
      <c r="K1" s="113"/>
      <c r="O1" s="110" t="s">
        <v>504</v>
      </c>
      <c r="P1" s="38" t="s">
        <v>509</v>
      </c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</row>
    <row r="2" spans="1:28">
      <c r="J2" s="40" t="s">
        <v>551</v>
      </c>
      <c r="K2" s="41"/>
      <c r="O2" s="110"/>
      <c r="P2" s="42" t="s">
        <v>307</v>
      </c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</row>
    <row r="3" spans="1:28">
      <c r="B3" s="40" t="s">
        <v>308</v>
      </c>
      <c r="C3" s="40" t="s">
        <v>254</v>
      </c>
      <c r="D3" s="40" t="s">
        <v>255</v>
      </c>
      <c r="E3" s="40" t="s">
        <v>256</v>
      </c>
      <c r="J3" s="40" t="s">
        <v>552</v>
      </c>
      <c r="K3" s="41"/>
      <c r="O3" s="110"/>
      <c r="P3" s="42" t="s">
        <v>263</v>
      </c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</row>
    <row r="4" spans="1:28">
      <c r="B4" s="27"/>
      <c r="C4" s="27"/>
      <c r="D4" s="27"/>
      <c r="E4" s="27"/>
      <c r="J4" s="40" t="s">
        <v>553</v>
      </c>
      <c r="K4" s="41"/>
      <c r="O4" s="110"/>
      <c r="P4" s="42" t="s">
        <v>224</v>
      </c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</row>
    <row r="5" spans="1:28">
      <c r="A5" s="43" t="s">
        <v>309</v>
      </c>
      <c r="B5" s="43" t="s">
        <v>310</v>
      </c>
      <c r="C5" s="113"/>
      <c r="D5" s="113"/>
      <c r="E5" s="113"/>
      <c r="G5" s="43" t="s">
        <v>309</v>
      </c>
      <c r="H5" s="113" t="s">
        <v>311</v>
      </c>
      <c r="I5" s="113"/>
      <c r="J5" s="113"/>
      <c r="K5" s="113"/>
      <c r="O5" s="110"/>
    </row>
    <row r="6" spans="1:28">
      <c r="A6" s="43"/>
      <c r="B6" s="40" t="s">
        <v>509</v>
      </c>
      <c r="C6" s="40" t="s">
        <v>312</v>
      </c>
      <c r="D6" s="40" t="s">
        <v>263</v>
      </c>
      <c r="E6" s="40" t="s">
        <v>224</v>
      </c>
      <c r="G6" s="43"/>
      <c r="H6" s="40" t="s">
        <v>509</v>
      </c>
      <c r="I6" s="40" t="s">
        <v>312</v>
      </c>
      <c r="J6" s="40" t="s">
        <v>263</v>
      </c>
      <c r="K6" s="40" t="s">
        <v>224</v>
      </c>
      <c r="O6" s="110"/>
      <c r="Q6" s="44" t="s">
        <v>313</v>
      </c>
      <c r="R6" s="44" t="s">
        <v>314</v>
      </c>
      <c r="S6" s="44" t="s">
        <v>315</v>
      </c>
      <c r="T6" s="44" t="s">
        <v>316</v>
      </c>
      <c r="V6" s="44" t="s">
        <v>317</v>
      </c>
      <c r="W6" s="44" t="s">
        <v>318</v>
      </c>
      <c r="X6" s="44" t="s">
        <v>319</v>
      </c>
    </row>
    <row r="7" spans="1:28">
      <c r="A7" s="29"/>
      <c r="B7" s="37">
        <v>557</v>
      </c>
      <c r="C7" s="37">
        <v>75.73</v>
      </c>
      <c r="D7" s="37">
        <v>36.200000000000003</v>
      </c>
      <c r="E7" s="37">
        <v>32.6</v>
      </c>
      <c r="G7" s="41"/>
      <c r="H7" s="39"/>
      <c r="I7" s="39"/>
      <c r="J7" s="39"/>
      <c r="K7" s="39"/>
      <c r="O7" s="110"/>
      <c r="Q7" s="45"/>
      <c r="R7" s="46"/>
      <c r="S7" s="45"/>
      <c r="T7" s="45"/>
      <c r="V7" s="45"/>
      <c r="W7" s="45"/>
      <c r="X7" s="45"/>
    </row>
    <row r="8" spans="1:28">
      <c r="A8" s="29"/>
      <c r="B8" s="37">
        <v>149</v>
      </c>
      <c r="C8" s="37">
        <v>35.11</v>
      </c>
      <c r="D8" s="37">
        <v>65.599999999999994</v>
      </c>
      <c r="E8" s="37">
        <v>29.2</v>
      </c>
      <c r="G8" s="41"/>
      <c r="H8" s="39"/>
      <c r="I8" s="39"/>
      <c r="J8" s="39"/>
      <c r="K8" s="39"/>
      <c r="O8" s="110"/>
      <c r="Q8" s="45"/>
      <c r="R8" s="46"/>
      <c r="S8" s="45"/>
      <c r="T8" s="45"/>
      <c r="V8" s="45"/>
      <c r="W8" s="47"/>
      <c r="X8" s="47"/>
    </row>
    <row r="9" spans="1:28">
      <c r="A9" s="29"/>
      <c r="B9" s="37">
        <v>326</v>
      </c>
      <c r="C9" s="37">
        <v>57.24</v>
      </c>
      <c r="D9" s="37">
        <v>61.4</v>
      </c>
      <c r="E9" s="37">
        <v>29.5</v>
      </c>
      <c r="G9" s="41"/>
      <c r="H9" s="39"/>
      <c r="I9" s="39"/>
      <c r="J9" s="39"/>
      <c r="K9" s="39"/>
      <c r="O9" s="110"/>
      <c r="Q9" s="45"/>
      <c r="R9" s="46"/>
      <c r="S9" s="45"/>
      <c r="T9" s="45"/>
      <c r="V9" s="45"/>
      <c r="W9" s="47"/>
      <c r="X9" s="47"/>
    </row>
    <row r="10" spans="1:28">
      <c r="A10" s="29"/>
      <c r="B10" s="37">
        <v>486</v>
      </c>
      <c r="C10" s="37">
        <v>94.62</v>
      </c>
      <c r="D10" s="37">
        <v>23.8</v>
      </c>
      <c r="E10" s="37">
        <v>30</v>
      </c>
      <c r="G10" s="41"/>
      <c r="H10" s="39"/>
      <c r="I10" s="39"/>
      <c r="J10" s="39"/>
      <c r="K10" s="39"/>
      <c r="O10" s="110"/>
      <c r="R10" s="47"/>
      <c r="S10" s="45"/>
      <c r="T10" s="47"/>
      <c r="U10" s="47"/>
      <c r="V10" s="47"/>
      <c r="W10" s="47"/>
      <c r="X10" s="47"/>
    </row>
    <row r="11" spans="1:28">
      <c r="A11" s="29"/>
      <c r="B11" s="37">
        <v>282</v>
      </c>
      <c r="C11" s="37">
        <v>64.349999999999994</v>
      </c>
      <c r="D11" s="37">
        <v>46.4</v>
      </c>
      <c r="E11" s="37">
        <v>28.8</v>
      </c>
      <c r="G11" s="41"/>
      <c r="H11" s="39"/>
      <c r="I11" s="39"/>
      <c r="J11" s="39"/>
      <c r="K11" s="39"/>
      <c r="O11" s="110"/>
      <c r="Q11" s="44" t="s">
        <v>320</v>
      </c>
      <c r="R11" s="47"/>
      <c r="S11" s="45"/>
      <c r="T11" s="44" t="s">
        <v>321</v>
      </c>
      <c r="V11" s="44" t="s">
        <v>322</v>
      </c>
      <c r="W11" s="45"/>
      <c r="X11" s="45"/>
      <c r="Y11" s="45"/>
    </row>
    <row r="12" spans="1:28">
      <c r="A12" s="29"/>
      <c r="B12" s="37">
        <v>547</v>
      </c>
      <c r="C12" s="37">
        <v>73.22</v>
      </c>
      <c r="D12" s="37">
        <v>37.200000000000003</v>
      </c>
      <c r="E12" s="37">
        <v>33.4</v>
      </c>
      <c r="G12" s="41"/>
      <c r="H12" s="39"/>
      <c r="I12" s="39"/>
      <c r="J12" s="39"/>
      <c r="K12" s="39"/>
      <c r="O12" s="110"/>
      <c r="Q12" s="48"/>
      <c r="R12" s="47"/>
      <c r="S12" s="45"/>
      <c r="T12" s="45"/>
      <c r="U12" s="47"/>
      <c r="V12" s="47"/>
      <c r="W12" s="47"/>
      <c r="X12" s="47"/>
    </row>
    <row r="13" spans="1:28">
      <c r="A13" s="29"/>
      <c r="B13" s="37">
        <v>538</v>
      </c>
      <c r="C13" s="37">
        <v>72.930000000000007</v>
      </c>
      <c r="D13" s="37">
        <v>32.200000000000003</v>
      </c>
      <c r="E13" s="37">
        <v>31.3</v>
      </c>
      <c r="G13" s="41"/>
      <c r="H13" s="39"/>
      <c r="I13" s="39"/>
      <c r="J13" s="39"/>
      <c r="K13" s="39"/>
      <c r="O13" s="110"/>
      <c r="Q13" s="47"/>
      <c r="R13" s="47"/>
      <c r="S13" s="45"/>
      <c r="T13" s="47"/>
      <c r="U13" s="47"/>
      <c r="V13" s="47"/>
      <c r="W13" s="47"/>
      <c r="X13" s="47"/>
    </row>
    <row r="14" spans="1:28">
      <c r="A14" s="29"/>
      <c r="B14" s="37">
        <v>393</v>
      </c>
      <c r="C14" s="37">
        <v>65.52</v>
      </c>
      <c r="D14" s="37">
        <v>46.2</v>
      </c>
      <c r="E14" s="37">
        <v>29.1</v>
      </c>
      <c r="G14" s="41"/>
      <c r="H14" s="39"/>
      <c r="I14" s="39"/>
      <c r="J14" s="39"/>
      <c r="K14" s="39"/>
      <c r="O14" s="110"/>
      <c r="Q14" s="47"/>
      <c r="R14" s="47"/>
      <c r="S14" s="45"/>
      <c r="T14" s="47"/>
      <c r="U14" s="47"/>
      <c r="V14" s="47"/>
      <c r="W14" s="47"/>
      <c r="X14" s="47"/>
    </row>
    <row r="15" spans="1:28">
      <c r="A15" s="29"/>
      <c r="B15" s="37">
        <v>484</v>
      </c>
      <c r="C15" s="37">
        <v>80.86</v>
      </c>
      <c r="D15" s="37">
        <v>23.7</v>
      </c>
      <c r="E15" s="37">
        <v>32.799999999999997</v>
      </c>
      <c r="G15" s="41"/>
      <c r="H15" s="39"/>
      <c r="I15" s="39"/>
      <c r="J15" s="39"/>
      <c r="K15" s="39"/>
      <c r="O15" s="110"/>
      <c r="Q15" s="47"/>
      <c r="R15" s="47"/>
      <c r="S15" s="45"/>
      <c r="T15" s="47"/>
      <c r="U15" s="47"/>
      <c r="V15" s="47"/>
      <c r="W15" s="47"/>
      <c r="X15" s="47"/>
    </row>
    <row r="16" spans="1:28">
      <c r="A16" s="29"/>
      <c r="B16" s="37">
        <v>253</v>
      </c>
      <c r="C16" s="37">
        <v>61.83</v>
      </c>
      <c r="D16" s="37">
        <v>51.8</v>
      </c>
      <c r="E16" s="37">
        <v>27.8</v>
      </c>
      <c r="G16" s="41"/>
      <c r="H16" s="39"/>
      <c r="I16" s="39"/>
      <c r="J16" s="39"/>
      <c r="K16" s="39"/>
      <c r="O16" s="110"/>
      <c r="S16" s="39"/>
    </row>
    <row r="17" spans="1:25">
      <c r="A17" s="29"/>
      <c r="B17" s="37">
        <v>270</v>
      </c>
      <c r="C17" s="37">
        <v>47.83</v>
      </c>
      <c r="D17" s="37">
        <v>69.400000000000006</v>
      </c>
      <c r="E17" s="37">
        <v>29.2</v>
      </c>
      <c r="G17" s="41"/>
      <c r="H17" s="39"/>
      <c r="I17" s="39"/>
      <c r="J17" s="39"/>
      <c r="K17" s="39"/>
      <c r="O17" s="110"/>
      <c r="S17" s="39"/>
    </row>
    <row r="18" spans="1:25">
      <c r="A18" s="29"/>
      <c r="B18" s="37">
        <v>506</v>
      </c>
      <c r="C18" s="37">
        <v>59.87</v>
      </c>
      <c r="D18" s="37">
        <v>47.9</v>
      </c>
      <c r="E18" s="37">
        <v>33.299999999999997</v>
      </c>
      <c r="G18" s="41"/>
      <c r="H18" s="39"/>
      <c r="I18" s="39"/>
      <c r="J18" s="39"/>
      <c r="K18" s="39"/>
      <c r="O18" s="110"/>
      <c r="S18" s="39"/>
    </row>
    <row r="19" spans="1:25">
      <c r="A19" s="40" t="s">
        <v>323</v>
      </c>
      <c r="B19" s="49">
        <f>AVERAGE(B7:B18)</f>
        <v>399.25</v>
      </c>
      <c r="C19" s="49">
        <f>AVERAGE(C7:C18)</f>
        <v>65.759166666666687</v>
      </c>
      <c r="D19" s="49">
        <f>AVERAGE(D7:D18)</f>
        <v>45.15</v>
      </c>
      <c r="E19" s="49">
        <f>AVERAGE(E7:E18)</f>
        <v>30.583333333333332</v>
      </c>
      <c r="G19" s="40" t="s">
        <v>323</v>
      </c>
      <c r="H19" s="49"/>
      <c r="I19" s="49"/>
      <c r="J19" s="49"/>
      <c r="K19" s="49"/>
      <c r="O19" s="110"/>
    </row>
    <row r="20" spans="1:25">
      <c r="A20" s="40" t="s">
        <v>324</v>
      </c>
      <c r="B20" s="49">
        <f>_xlfn.STDEV.S(B7:B18)</f>
        <v>138.80733868469372</v>
      </c>
      <c r="C20" s="49">
        <f>_xlfn.STDEV.S(C7:C18)</f>
        <v>15.530180270763788</v>
      </c>
      <c r="D20" s="49">
        <f>_xlfn.STDEV.S(D7:D18)</f>
        <v>15.230680758378364</v>
      </c>
      <c r="E20" s="49">
        <f>_xlfn.STDEV.S(E7:E18)</f>
        <v>1.9834924815190054</v>
      </c>
      <c r="G20" s="40" t="s">
        <v>324</v>
      </c>
      <c r="H20" s="49"/>
      <c r="I20" s="49"/>
      <c r="J20" s="49"/>
      <c r="K20" s="49"/>
      <c r="O20" s="110"/>
      <c r="Q20" s="50" t="s">
        <v>325</v>
      </c>
      <c r="R20" s="112" t="s">
        <v>326</v>
      </c>
      <c r="S20" s="112"/>
      <c r="T20" s="112"/>
      <c r="U20" s="51"/>
      <c r="V20" s="50" t="s">
        <v>327</v>
      </c>
      <c r="W20" s="112" t="s">
        <v>328</v>
      </c>
      <c r="X20" s="112"/>
      <c r="Y20" s="112"/>
    </row>
    <row r="21" spans="1:25">
      <c r="O21" s="110"/>
      <c r="Q21" s="39"/>
      <c r="R21" s="39"/>
      <c r="S21" s="39"/>
      <c r="T21" s="39"/>
      <c r="V21" s="39"/>
      <c r="W21" s="39"/>
      <c r="X21" s="39"/>
      <c r="Y21" s="39"/>
    </row>
    <row r="22" spans="1:25">
      <c r="A22" s="40" t="s">
        <v>329</v>
      </c>
      <c r="B22" s="41"/>
      <c r="G22" s="40" t="s">
        <v>329</v>
      </c>
      <c r="H22" s="41" t="e">
        <f>CORREL(G7:G18,H7:H18)</f>
        <v>#DIV/0!</v>
      </c>
      <c r="O22" s="110"/>
      <c r="Q22" s="39"/>
      <c r="R22" s="39"/>
      <c r="S22" s="39"/>
      <c r="T22" s="39"/>
      <c r="V22" s="39"/>
      <c r="W22" s="39"/>
      <c r="X22" s="39"/>
      <c r="Y22" s="39"/>
    </row>
    <row r="23" spans="1:25">
      <c r="O23" s="110"/>
      <c r="Q23" s="39"/>
      <c r="R23" s="39"/>
      <c r="S23" s="39"/>
      <c r="T23" s="39"/>
      <c r="V23" s="39"/>
      <c r="W23" s="39"/>
      <c r="X23" s="39"/>
      <c r="Y23" s="39"/>
    </row>
    <row r="24" spans="1:25">
      <c r="H24" s="52" t="s">
        <v>330</v>
      </c>
      <c r="I24" s="52" t="s">
        <v>331</v>
      </c>
      <c r="J24" s="52" t="s">
        <v>332</v>
      </c>
      <c r="O24" s="110"/>
      <c r="Q24" s="39"/>
      <c r="R24" s="39"/>
      <c r="S24" s="39"/>
      <c r="T24" s="39"/>
      <c r="V24" s="39"/>
      <c r="W24" s="39"/>
      <c r="X24" s="39"/>
      <c r="Y24" s="39"/>
    </row>
    <row r="25" spans="1:25">
      <c r="H25" s="53"/>
      <c r="I25" s="53"/>
      <c r="J25" s="53"/>
      <c r="O25" s="110"/>
      <c r="Q25" s="39"/>
      <c r="R25" s="39"/>
      <c r="S25" s="39"/>
      <c r="T25" s="39"/>
      <c r="V25" s="39"/>
      <c r="W25" s="39"/>
      <c r="X25" s="39"/>
      <c r="Y25" s="39"/>
    </row>
    <row r="26" spans="1:25">
      <c r="H26" s="53"/>
      <c r="I26" s="53"/>
      <c r="J26" s="53"/>
      <c r="O26" s="110"/>
      <c r="Q26" s="39"/>
      <c r="R26" s="39"/>
      <c r="S26" s="39"/>
      <c r="T26" s="39"/>
      <c r="V26" s="39"/>
      <c r="W26" s="39"/>
      <c r="X26" s="39"/>
      <c r="Y26" s="39"/>
    </row>
    <row r="27" spans="1:25">
      <c r="H27" s="53"/>
      <c r="I27" s="53"/>
      <c r="J27" s="53"/>
      <c r="O27" s="110"/>
      <c r="Q27" s="39"/>
      <c r="R27" s="39"/>
      <c r="S27" s="39"/>
      <c r="T27" s="39"/>
      <c r="V27" s="39"/>
      <c r="W27" s="39"/>
      <c r="X27" s="39"/>
      <c r="Y27" s="39"/>
    </row>
    <row r="28" spans="1:25">
      <c r="O28" s="110"/>
      <c r="Q28" s="39"/>
      <c r="R28" s="39"/>
      <c r="S28" s="39"/>
      <c r="T28" s="39"/>
      <c r="V28" s="39"/>
      <c r="W28" s="39"/>
      <c r="X28" s="39"/>
      <c r="Y28" s="39"/>
    </row>
    <row r="29" spans="1:25">
      <c r="H29" s="40" t="s">
        <v>509</v>
      </c>
      <c r="I29" s="40" t="s">
        <v>333</v>
      </c>
      <c r="J29" s="40" t="s">
        <v>334</v>
      </c>
      <c r="K29" s="40" t="s">
        <v>335</v>
      </c>
      <c r="O29" s="110"/>
      <c r="Q29" s="39"/>
      <c r="R29" s="39"/>
      <c r="S29" s="39"/>
      <c r="T29" s="39"/>
      <c r="V29" s="39"/>
      <c r="W29" s="39"/>
      <c r="X29" s="39"/>
      <c r="Y29" s="39"/>
    </row>
    <row r="30" spans="1:25">
      <c r="H30" s="41"/>
      <c r="I30" s="54"/>
      <c r="J30" s="54"/>
      <c r="K30" s="54"/>
      <c r="O30" s="110"/>
      <c r="Q30" s="39"/>
      <c r="R30" s="39"/>
      <c r="S30" s="39"/>
      <c r="T30" s="39"/>
      <c r="V30" s="39"/>
      <c r="W30" s="39"/>
      <c r="X30" s="39"/>
      <c r="Y30" s="39"/>
    </row>
    <row r="31" spans="1:25">
      <c r="H31" s="41"/>
      <c r="I31" s="54"/>
      <c r="J31" s="54"/>
      <c r="K31" s="54"/>
      <c r="O31" s="110"/>
      <c r="Q31" s="39"/>
      <c r="R31" s="39"/>
      <c r="S31" s="39"/>
      <c r="T31" s="39"/>
      <c r="V31" s="39"/>
      <c r="W31" s="39"/>
      <c r="X31" s="39"/>
      <c r="Y31" s="39"/>
    </row>
    <row r="32" spans="1:25">
      <c r="H32" s="41"/>
      <c r="I32" s="54"/>
      <c r="J32" s="54"/>
      <c r="K32" s="54"/>
      <c r="O32" s="110"/>
      <c r="Q32" s="39"/>
      <c r="R32" s="39"/>
      <c r="S32" s="39"/>
      <c r="T32" s="39"/>
      <c r="V32" s="39"/>
      <c r="W32" s="39"/>
      <c r="X32" s="39"/>
      <c r="Y32" s="39"/>
    </row>
    <row r="33" spans="1:28">
      <c r="H33" s="41"/>
      <c r="I33" s="54"/>
      <c r="J33" s="54"/>
      <c r="K33" s="54"/>
    </row>
    <row r="34" spans="1:28" ht="17.399999999999999" customHeight="1">
      <c r="H34" s="41"/>
      <c r="I34" s="54"/>
      <c r="J34" s="54"/>
      <c r="K34" s="54"/>
      <c r="O34" s="110" t="s">
        <v>505</v>
      </c>
      <c r="P34" s="38" t="s">
        <v>336</v>
      </c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</row>
    <row r="35" spans="1:28">
      <c r="H35" s="41"/>
      <c r="I35" s="54"/>
      <c r="J35" s="54"/>
      <c r="K35" s="54"/>
      <c r="O35" s="110"/>
      <c r="P35" s="111" t="s">
        <v>337</v>
      </c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</row>
    <row r="36" spans="1:28">
      <c r="H36" s="41"/>
      <c r="I36" s="54"/>
      <c r="J36" s="54"/>
      <c r="K36" s="54"/>
      <c r="O36" s="110"/>
      <c r="P36" s="111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</row>
    <row r="37" spans="1:28">
      <c r="H37" s="41"/>
      <c r="I37" s="54"/>
      <c r="J37" s="54"/>
      <c r="K37" s="54"/>
      <c r="O37" s="110"/>
      <c r="P37" s="111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</row>
    <row r="38" spans="1:28">
      <c r="H38" s="41"/>
      <c r="I38" s="54"/>
      <c r="J38" s="54"/>
      <c r="K38" s="54"/>
      <c r="O38" s="110"/>
    </row>
    <row r="39" spans="1:28">
      <c r="H39" s="41"/>
      <c r="I39" s="54"/>
      <c r="J39" s="54"/>
      <c r="K39" s="54"/>
      <c r="O39" s="110"/>
      <c r="Q39" s="44" t="s">
        <v>313</v>
      </c>
      <c r="R39" s="44" t="s">
        <v>338</v>
      </c>
      <c r="S39" s="44" t="s">
        <v>339</v>
      </c>
      <c r="T39" s="44" t="s">
        <v>340</v>
      </c>
      <c r="V39" s="44" t="s">
        <v>341</v>
      </c>
      <c r="W39" s="44" t="s">
        <v>342</v>
      </c>
      <c r="X39" s="44" t="s">
        <v>343</v>
      </c>
      <c r="Y39" s="47"/>
    </row>
    <row r="40" spans="1:28">
      <c r="H40" s="41"/>
      <c r="I40" s="54"/>
      <c r="J40" s="54"/>
      <c r="K40" s="54"/>
      <c r="O40" s="110"/>
      <c r="Q40" s="45"/>
      <c r="R40" s="46"/>
      <c r="S40" s="45"/>
      <c r="T40" s="45"/>
      <c r="V40" s="45"/>
      <c r="W40" s="45"/>
      <c r="X40" s="45"/>
      <c r="Y40" s="47"/>
    </row>
    <row r="41" spans="1:28">
      <c r="H41" s="41"/>
      <c r="I41" s="54"/>
      <c r="J41" s="54"/>
      <c r="K41" s="54"/>
      <c r="O41" s="110"/>
      <c r="Q41" s="45"/>
      <c r="R41" s="46"/>
      <c r="S41" s="45"/>
      <c r="T41" s="45"/>
      <c r="V41" s="45"/>
      <c r="W41" s="47"/>
      <c r="X41" s="47"/>
      <c r="Y41" s="47"/>
    </row>
    <row r="42" spans="1:28">
      <c r="O42" s="110"/>
      <c r="Q42" s="45"/>
      <c r="R42" s="46"/>
      <c r="S42" s="45"/>
      <c r="T42" s="45"/>
      <c r="V42" s="45"/>
      <c r="W42" s="47"/>
      <c r="X42" s="47"/>
      <c r="Y42" s="47"/>
    </row>
    <row r="43" spans="1:28">
      <c r="B43" s="109" t="s">
        <v>344</v>
      </c>
      <c r="C43" s="109"/>
      <c r="D43" s="109"/>
      <c r="E43" s="109"/>
      <c r="F43" s="109"/>
      <c r="G43" s="109"/>
      <c r="H43" s="109"/>
      <c r="I43" s="109"/>
      <c r="J43" s="109"/>
      <c r="K43" s="109"/>
      <c r="L43" s="109"/>
      <c r="M43" s="109"/>
      <c r="O43" s="110"/>
      <c r="R43" s="47"/>
      <c r="S43" s="45"/>
      <c r="T43" s="47"/>
      <c r="V43" s="47"/>
      <c r="W43" s="47"/>
      <c r="X43" s="47"/>
      <c r="Y43" s="47"/>
    </row>
    <row r="44" spans="1:28">
      <c r="A44" s="52" t="s">
        <v>345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O44" s="110"/>
      <c r="Q44" s="44" t="s">
        <v>320</v>
      </c>
      <c r="R44" s="47"/>
      <c r="S44" s="45"/>
      <c r="T44" s="44" t="s">
        <v>346</v>
      </c>
      <c r="V44" s="44" t="s">
        <v>347</v>
      </c>
      <c r="W44" s="45"/>
      <c r="X44" s="45"/>
      <c r="Y44" s="45"/>
    </row>
    <row r="45" spans="1:28">
      <c r="A45" s="52" t="s">
        <v>334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O45" s="110"/>
      <c r="Q45" s="48"/>
      <c r="R45" s="47"/>
      <c r="S45" s="45"/>
      <c r="T45" s="45"/>
      <c r="U45" s="47"/>
      <c r="V45" s="47"/>
      <c r="W45" s="47"/>
      <c r="X45" s="47"/>
    </row>
    <row r="46" spans="1:28">
      <c r="O46" s="110"/>
      <c r="Q46" s="47"/>
      <c r="R46" s="47"/>
      <c r="S46" s="45"/>
      <c r="T46" s="47"/>
      <c r="U46" s="47"/>
      <c r="V46" s="47"/>
      <c r="W46" s="47"/>
      <c r="X46" s="47"/>
    </row>
    <row r="47" spans="1:28">
      <c r="A47" s="113" t="s">
        <v>348</v>
      </c>
      <c r="B47" s="113"/>
      <c r="D47" s="113" t="s">
        <v>349</v>
      </c>
      <c r="E47" s="113"/>
      <c r="H47" s="43" t="s">
        <v>350</v>
      </c>
      <c r="K47" s="55" t="s">
        <v>351</v>
      </c>
      <c r="O47" s="110"/>
      <c r="Q47" s="47"/>
      <c r="R47" s="47"/>
      <c r="S47" s="45"/>
      <c r="T47" s="47"/>
      <c r="U47" s="47"/>
      <c r="V47" s="47"/>
      <c r="W47" s="47"/>
      <c r="X47" s="47"/>
    </row>
    <row r="48" spans="1:28">
      <c r="A48" s="39"/>
      <c r="B48" s="39"/>
      <c r="D48" s="39"/>
      <c r="E48" s="39"/>
      <c r="H48" s="39"/>
      <c r="J48" s="40" t="s">
        <v>352</v>
      </c>
      <c r="K48" s="56"/>
      <c r="O48" s="110"/>
      <c r="Q48" s="47"/>
      <c r="R48" s="47"/>
      <c r="S48" s="45"/>
      <c r="T48" s="47"/>
      <c r="U48" s="47"/>
      <c r="V48" s="47"/>
      <c r="W48" s="47"/>
      <c r="X48" s="47"/>
    </row>
    <row r="49" spans="1:25">
      <c r="A49" s="39"/>
      <c r="B49" s="39"/>
      <c r="D49" s="39"/>
      <c r="E49" s="39"/>
      <c r="H49" s="39"/>
      <c r="J49" s="40" t="s">
        <v>353</v>
      </c>
      <c r="K49" s="56"/>
      <c r="O49" s="110"/>
      <c r="S49" s="39"/>
    </row>
    <row r="50" spans="1:25">
      <c r="O50" s="110"/>
      <c r="S50" s="39"/>
    </row>
    <row r="51" spans="1:25">
      <c r="O51" s="110"/>
      <c r="S51" s="39"/>
    </row>
    <row r="52" spans="1:25">
      <c r="O52" s="110"/>
    </row>
    <row r="53" spans="1:25">
      <c r="O53" s="110"/>
      <c r="Q53" s="50" t="s">
        <v>354</v>
      </c>
      <c r="R53" s="112" t="s">
        <v>355</v>
      </c>
      <c r="S53" s="112"/>
      <c r="T53" s="112"/>
      <c r="U53" s="51"/>
      <c r="V53" s="50" t="s">
        <v>356</v>
      </c>
      <c r="W53" s="112" t="s">
        <v>357</v>
      </c>
      <c r="X53" s="112"/>
      <c r="Y53" s="112"/>
    </row>
    <row r="54" spans="1:25">
      <c r="O54" s="110"/>
      <c r="Q54" s="39"/>
      <c r="R54" s="39"/>
      <c r="S54" s="39"/>
      <c r="T54" s="39"/>
      <c r="V54" s="39"/>
      <c r="W54" s="39"/>
      <c r="X54" s="39"/>
      <c r="Y54" s="39"/>
    </row>
    <row r="55" spans="1:25">
      <c r="O55" s="110"/>
      <c r="Q55" s="39"/>
      <c r="R55" s="39"/>
      <c r="S55" s="39"/>
      <c r="T55" s="39"/>
      <c r="V55" s="39"/>
      <c r="W55" s="39"/>
      <c r="X55" s="39"/>
      <c r="Y55" s="39"/>
    </row>
    <row r="56" spans="1:25">
      <c r="O56" s="110"/>
      <c r="Q56" s="39"/>
      <c r="R56" s="39"/>
      <c r="S56" s="39"/>
      <c r="T56" s="39"/>
      <c r="V56" s="39"/>
      <c r="W56" s="39"/>
      <c r="X56" s="39"/>
      <c r="Y56" s="39"/>
    </row>
    <row r="57" spans="1:25">
      <c r="O57" s="110"/>
      <c r="Q57" s="39"/>
      <c r="R57" s="39"/>
      <c r="S57" s="39"/>
      <c r="T57" s="39"/>
      <c r="V57" s="39"/>
      <c r="W57" s="39"/>
      <c r="X57" s="39"/>
      <c r="Y57" s="39"/>
    </row>
    <row r="58" spans="1:25">
      <c r="O58" s="110"/>
      <c r="Q58" s="39"/>
      <c r="R58" s="39"/>
      <c r="S58" s="39"/>
      <c r="T58" s="39"/>
      <c r="V58" s="39"/>
      <c r="W58" s="39"/>
      <c r="X58" s="39"/>
      <c r="Y58" s="39"/>
    </row>
    <row r="59" spans="1:25">
      <c r="O59" s="110"/>
      <c r="Q59" s="39"/>
      <c r="R59" s="39"/>
      <c r="S59" s="39"/>
      <c r="T59" s="39"/>
      <c r="V59" s="39"/>
      <c r="W59" s="39"/>
      <c r="X59" s="39"/>
      <c r="Y59" s="39"/>
    </row>
    <row r="60" spans="1:25">
      <c r="O60" s="110"/>
      <c r="Q60" s="39"/>
      <c r="R60" s="39"/>
      <c r="S60" s="39"/>
      <c r="T60" s="39"/>
      <c r="V60" s="39"/>
      <c r="W60" s="39"/>
      <c r="X60" s="39"/>
      <c r="Y60" s="39"/>
    </row>
    <row r="61" spans="1:25">
      <c r="O61" s="110"/>
      <c r="Q61" s="39"/>
      <c r="R61" s="39"/>
      <c r="S61" s="39"/>
      <c r="T61" s="39"/>
      <c r="V61" s="39"/>
      <c r="W61" s="39"/>
      <c r="X61" s="39"/>
      <c r="Y61" s="39"/>
    </row>
    <row r="62" spans="1:25">
      <c r="O62" s="110"/>
      <c r="Q62" s="39"/>
      <c r="R62" s="39"/>
      <c r="S62" s="39"/>
      <c r="T62" s="39"/>
      <c r="V62" s="39"/>
      <c r="W62" s="39"/>
      <c r="X62" s="39"/>
      <c r="Y62" s="39"/>
    </row>
    <row r="63" spans="1:25">
      <c r="O63" s="110"/>
      <c r="Q63" s="39"/>
      <c r="R63" s="39"/>
      <c r="S63" s="39"/>
      <c r="T63" s="39"/>
      <c r="V63" s="39"/>
      <c r="W63" s="39"/>
      <c r="X63" s="39"/>
      <c r="Y63" s="39"/>
    </row>
    <row r="64" spans="1:25">
      <c r="O64" s="110"/>
      <c r="Q64" s="39"/>
      <c r="R64" s="39"/>
      <c r="S64" s="39"/>
      <c r="T64" s="39"/>
      <c r="V64" s="39"/>
      <c r="W64" s="39"/>
      <c r="X64" s="39"/>
      <c r="Y64" s="39"/>
    </row>
    <row r="65" spans="15:28">
      <c r="O65" s="110"/>
      <c r="Q65" s="39"/>
      <c r="R65" s="39"/>
      <c r="S65" s="39"/>
      <c r="T65" s="39"/>
      <c r="V65" s="39"/>
      <c r="W65" s="39"/>
      <c r="X65" s="39"/>
      <c r="Y65" s="39"/>
    </row>
    <row r="67" spans="15:28" ht="17.399999999999999" customHeight="1">
      <c r="O67" s="110" t="s">
        <v>506</v>
      </c>
      <c r="P67" s="38" t="s">
        <v>358</v>
      </c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</row>
    <row r="68" spans="15:28">
      <c r="O68" s="110"/>
      <c r="P68" s="111" t="s">
        <v>359</v>
      </c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</row>
    <row r="69" spans="15:28">
      <c r="O69" s="110"/>
      <c r="P69" s="111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</row>
    <row r="70" spans="15:28">
      <c r="O70" s="110"/>
      <c r="P70" s="111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</row>
    <row r="71" spans="15:28">
      <c r="O71" s="110"/>
    </row>
    <row r="72" spans="15:28">
      <c r="O72" s="110"/>
      <c r="Q72" s="44" t="s">
        <v>313</v>
      </c>
      <c r="R72" s="44" t="s">
        <v>507</v>
      </c>
      <c r="S72" s="44" t="s">
        <v>360</v>
      </c>
      <c r="T72" s="44" t="s">
        <v>361</v>
      </c>
      <c r="V72" s="44" t="s">
        <v>362</v>
      </c>
      <c r="W72" s="44" t="s">
        <v>363</v>
      </c>
      <c r="X72" s="44" t="s">
        <v>364</v>
      </c>
      <c r="Y72" s="47"/>
    </row>
    <row r="73" spans="15:28">
      <c r="O73" s="110"/>
      <c r="Q73" s="45"/>
      <c r="R73" s="46"/>
      <c r="S73" s="45"/>
      <c r="T73" s="45"/>
      <c r="V73" s="45"/>
      <c r="W73" s="45"/>
      <c r="X73" s="45"/>
      <c r="Y73" s="47"/>
    </row>
    <row r="74" spans="15:28">
      <c r="O74" s="110"/>
      <c r="Q74" s="45"/>
      <c r="R74" s="46"/>
      <c r="S74" s="45"/>
      <c r="T74" s="45"/>
      <c r="V74" s="45"/>
      <c r="W74" s="47"/>
      <c r="X74" s="47"/>
      <c r="Y74" s="47"/>
    </row>
    <row r="75" spans="15:28">
      <c r="O75" s="110"/>
      <c r="Q75" s="45"/>
      <c r="R75" s="46"/>
      <c r="S75" s="45"/>
      <c r="T75" s="45"/>
      <c r="V75" s="45"/>
      <c r="W75" s="47"/>
      <c r="X75" s="47"/>
      <c r="Y75" s="47"/>
    </row>
    <row r="76" spans="15:28">
      <c r="O76" s="110"/>
      <c r="R76" s="47"/>
      <c r="S76" s="45"/>
      <c r="T76" s="47"/>
      <c r="V76" s="47"/>
      <c r="W76" s="47"/>
      <c r="X76" s="47"/>
      <c r="Y76" s="47"/>
    </row>
    <row r="77" spans="15:28">
      <c r="O77" s="110"/>
      <c r="Q77" s="44" t="s">
        <v>320</v>
      </c>
      <c r="R77" s="47"/>
      <c r="S77" s="45"/>
      <c r="T77" s="44" t="s">
        <v>365</v>
      </c>
      <c r="V77" s="44" t="s">
        <v>366</v>
      </c>
      <c r="W77" s="45"/>
      <c r="X77" s="45"/>
      <c r="Y77" s="45"/>
    </row>
    <row r="78" spans="15:28">
      <c r="O78" s="110"/>
      <c r="Q78" s="48"/>
      <c r="R78" s="47"/>
      <c r="S78" s="45"/>
      <c r="T78" s="45"/>
      <c r="U78" s="47"/>
      <c r="V78" s="47"/>
      <c r="W78" s="47"/>
      <c r="X78" s="47"/>
    </row>
    <row r="79" spans="15:28">
      <c r="O79" s="110"/>
      <c r="Q79" s="47"/>
      <c r="R79" s="47"/>
      <c r="S79" s="45"/>
      <c r="T79" s="47"/>
      <c r="U79" s="47"/>
      <c r="V79" s="47"/>
      <c r="W79" s="47"/>
      <c r="X79" s="47"/>
    </row>
    <row r="80" spans="15:28">
      <c r="O80" s="110"/>
      <c r="Q80" s="47"/>
      <c r="R80" s="47"/>
      <c r="S80" s="45"/>
      <c r="T80" s="47"/>
      <c r="U80" s="47"/>
      <c r="V80" s="47"/>
      <c r="W80" s="47"/>
      <c r="X80" s="47"/>
    </row>
    <row r="81" spans="15:25">
      <c r="O81" s="110"/>
      <c r="Q81" s="47"/>
      <c r="R81" s="47"/>
      <c r="S81" s="45"/>
      <c r="T81" s="47"/>
      <c r="U81" s="47"/>
      <c r="V81" s="47"/>
      <c r="W81" s="47"/>
      <c r="X81" s="47"/>
    </row>
    <row r="82" spans="15:25">
      <c r="O82" s="110"/>
      <c r="S82" s="39"/>
    </row>
    <row r="83" spans="15:25">
      <c r="O83" s="110"/>
      <c r="S83" s="39"/>
    </row>
    <row r="84" spans="15:25">
      <c r="O84" s="110"/>
      <c r="S84" s="39"/>
    </row>
    <row r="85" spans="15:25">
      <c r="O85" s="110"/>
    </row>
    <row r="86" spans="15:25">
      <c r="O86" s="110"/>
      <c r="Q86" s="50" t="s">
        <v>367</v>
      </c>
      <c r="R86" s="112" t="s">
        <v>368</v>
      </c>
      <c r="S86" s="112"/>
      <c r="T86" s="112"/>
      <c r="U86" s="51"/>
      <c r="V86" s="50" t="s">
        <v>369</v>
      </c>
      <c r="W86" s="112" t="s">
        <v>370</v>
      </c>
      <c r="X86" s="112"/>
      <c r="Y86" s="112"/>
    </row>
    <row r="87" spans="15:25">
      <c r="O87" s="110"/>
      <c r="Q87" s="39"/>
      <c r="R87" s="39"/>
      <c r="S87" s="39"/>
      <c r="T87" s="39"/>
      <c r="V87" s="39"/>
      <c r="W87" s="39"/>
      <c r="X87" s="39"/>
      <c r="Y87" s="39"/>
    </row>
    <row r="88" spans="15:25">
      <c r="O88" s="110"/>
      <c r="Q88" s="39"/>
      <c r="R88" s="39"/>
      <c r="S88" s="39"/>
      <c r="T88" s="39"/>
      <c r="V88" s="39"/>
      <c r="W88" s="39"/>
      <c r="X88" s="39"/>
      <c r="Y88" s="39"/>
    </row>
    <row r="89" spans="15:25">
      <c r="O89" s="110"/>
      <c r="Q89" s="39"/>
      <c r="R89" s="39"/>
      <c r="S89" s="39"/>
      <c r="T89" s="39"/>
      <c r="V89" s="39"/>
      <c r="W89" s="39"/>
      <c r="X89" s="39"/>
      <c r="Y89" s="39"/>
    </row>
    <row r="90" spans="15:25">
      <c r="O90" s="110"/>
      <c r="Q90" s="39"/>
      <c r="R90" s="39"/>
      <c r="S90" s="39"/>
      <c r="T90" s="39"/>
      <c r="V90" s="39"/>
      <c r="W90" s="39"/>
      <c r="X90" s="39"/>
      <c r="Y90" s="39"/>
    </row>
    <row r="91" spans="15:25">
      <c r="O91" s="110"/>
      <c r="Q91" s="39"/>
      <c r="R91" s="39"/>
      <c r="S91" s="39"/>
      <c r="T91" s="39"/>
      <c r="V91" s="39"/>
      <c r="W91" s="39"/>
      <c r="X91" s="39"/>
      <c r="Y91" s="39"/>
    </row>
    <row r="92" spans="15:25">
      <c r="O92" s="110"/>
      <c r="Q92" s="39"/>
      <c r="R92" s="39"/>
      <c r="S92" s="39"/>
      <c r="T92" s="39"/>
      <c r="V92" s="39"/>
      <c r="W92" s="39"/>
      <c r="X92" s="39"/>
      <c r="Y92" s="39"/>
    </row>
    <row r="93" spans="15:25">
      <c r="O93" s="110"/>
      <c r="Q93" s="39"/>
      <c r="R93" s="39"/>
      <c r="S93" s="39"/>
      <c r="T93" s="39"/>
      <c r="V93" s="39"/>
      <c r="W93" s="39"/>
      <c r="X93" s="39"/>
      <c r="Y93" s="39"/>
    </row>
    <row r="94" spans="15:25">
      <c r="O94" s="110"/>
      <c r="Q94" s="39"/>
      <c r="R94" s="39"/>
      <c r="S94" s="39"/>
      <c r="T94" s="39"/>
      <c r="V94" s="39"/>
      <c r="W94" s="39"/>
      <c r="X94" s="39"/>
      <c r="Y94" s="39"/>
    </row>
    <row r="95" spans="15:25">
      <c r="O95" s="110"/>
      <c r="Q95" s="39"/>
      <c r="R95" s="39"/>
      <c r="S95" s="39"/>
      <c r="T95" s="39"/>
      <c r="V95" s="39"/>
      <c r="W95" s="39"/>
      <c r="X95" s="39"/>
      <c r="Y95" s="39"/>
    </row>
    <row r="96" spans="15:25">
      <c r="O96" s="110"/>
      <c r="Q96" s="39"/>
      <c r="R96" s="39"/>
      <c r="S96" s="39"/>
      <c r="T96" s="39"/>
      <c r="V96" s="39"/>
      <c r="W96" s="39"/>
      <c r="X96" s="39"/>
      <c r="Y96" s="39"/>
    </row>
    <row r="97" spans="15:25">
      <c r="O97" s="110"/>
      <c r="Q97" s="39"/>
      <c r="R97" s="39"/>
      <c r="S97" s="39"/>
      <c r="T97" s="39"/>
      <c r="V97" s="39"/>
      <c r="W97" s="39"/>
      <c r="X97" s="39"/>
      <c r="Y97" s="39"/>
    </row>
    <row r="98" spans="15:25">
      <c r="O98" s="110"/>
      <c r="Q98" s="39"/>
      <c r="R98" s="39"/>
      <c r="S98" s="39"/>
      <c r="T98" s="39"/>
      <c r="V98" s="39"/>
      <c r="W98" s="39"/>
      <c r="X98" s="39"/>
      <c r="Y98" s="39"/>
    </row>
    <row r="132" spans="11:13">
      <c r="K132" s="37" t="s">
        <v>371</v>
      </c>
      <c r="L132" s="37">
        <v>0.59623426999999996</v>
      </c>
      <c r="M132" s="37">
        <v>-0.51742783000000003</v>
      </c>
    </row>
    <row r="133" spans="11:13">
      <c r="L133" s="37">
        <v>-0.63297963999999995</v>
      </c>
      <c r="M133" s="37">
        <v>0.35129701000000002</v>
      </c>
    </row>
    <row r="134" spans="11:13">
      <c r="L134" s="37">
        <v>0.50732522999999996</v>
      </c>
      <c r="M134" s="37">
        <v>0.81707275999999995</v>
      </c>
    </row>
  </sheetData>
  <mergeCells count="17">
    <mergeCell ref="W20:Y20"/>
    <mergeCell ref="B43:M43"/>
    <mergeCell ref="A47:B47"/>
    <mergeCell ref="D47:E47"/>
    <mergeCell ref="R53:T53"/>
    <mergeCell ref="W53:Y53"/>
    <mergeCell ref="J1:K1"/>
    <mergeCell ref="O1:O32"/>
    <mergeCell ref="C5:E5"/>
    <mergeCell ref="H5:K5"/>
    <mergeCell ref="R20:T20"/>
    <mergeCell ref="O67:O98"/>
    <mergeCell ref="P68:P70"/>
    <mergeCell ref="R86:T86"/>
    <mergeCell ref="W86:Y86"/>
    <mergeCell ref="O34:O65"/>
    <mergeCell ref="P35:P37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tabSelected="1" zoomScale="70" zoomScaleNormal="70" workbookViewId="0">
      <selection activeCell="D10" sqref="D10:G12"/>
    </sheetView>
  </sheetViews>
  <sheetFormatPr defaultRowHeight="17.399999999999999"/>
  <cols>
    <col min="1" max="16384" width="8.796875" style="57"/>
  </cols>
  <sheetData>
    <row r="1" spans="1:12">
      <c r="A1" s="109" t="s">
        <v>554</v>
      </c>
      <c r="B1" s="109"/>
      <c r="D1" s="109" t="s">
        <v>555</v>
      </c>
      <c r="E1" s="109"/>
      <c r="G1" s="109" t="s">
        <v>557</v>
      </c>
      <c r="H1" s="109"/>
      <c r="J1" s="80" t="s">
        <v>558</v>
      </c>
      <c r="L1" s="80" t="s">
        <v>559</v>
      </c>
    </row>
    <row r="2" spans="1:12">
      <c r="A2" s="57">
        <v>0.42</v>
      </c>
      <c r="B2" s="57">
        <v>0.55000000000000004</v>
      </c>
      <c r="D2" s="57">
        <v>1</v>
      </c>
      <c r="E2" s="57">
        <v>-0.77</v>
      </c>
      <c r="G2" s="84"/>
      <c r="H2" s="84"/>
      <c r="J2" s="84"/>
      <c r="L2" s="84"/>
    </row>
    <row r="3" spans="1:12">
      <c r="D3" s="57">
        <v>-0.77</v>
      </c>
      <c r="E3" s="57">
        <v>1</v>
      </c>
    </row>
    <row r="4" spans="1:12">
      <c r="D4" s="57" t="s">
        <v>560</v>
      </c>
    </row>
    <row r="9" spans="1:12">
      <c r="D9" s="109" t="s">
        <v>556</v>
      </c>
      <c r="E9" s="109"/>
    </row>
    <row r="10" spans="1:12">
      <c r="D10" s="84"/>
      <c r="E10" s="84"/>
    </row>
    <row r="11" spans="1:12">
      <c r="D11" s="84"/>
      <c r="E11" s="84"/>
    </row>
  </sheetData>
  <mergeCells count="4">
    <mergeCell ref="A1:B1"/>
    <mergeCell ref="D9:E9"/>
    <mergeCell ref="G1:H1"/>
    <mergeCell ref="D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기초통계량</vt:lpstr>
      <vt:lpstr>정규분포와 시그마</vt:lpstr>
      <vt:lpstr>데이터 표준화</vt:lpstr>
      <vt:lpstr>공분산</vt:lpstr>
      <vt:lpstr>상관계수</vt:lpstr>
      <vt:lpstr>행렬</vt:lpstr>
      <vt:lpstr>주성분분석</vt:lpstr>
      <vt:lpstr>고유값고유벡터</vt:lpstr>
      <vt:lpstr>MTS</vt:lpstr>
      <vt:lpstr>MTS (상관행렬)</vt:lpstr>
      <vt:lpstr>단순회귀분석</vt:lpstr>
      <vt:lpstr>다중회귀분석</vt:lpstr>
      <vt:lpstr>PCR</vt:lpstr>
      <vt:lpstr>PLS</vt:lpstr>
      <vt:lpstr>마할라노비스거리계산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mingk</dc:creator>
  <cp:lastModifiedBy>mingk</cp:lastModifiedBy>
  <dcterms:created xsi:type="dcterms:W3CDTF">2017-12-14T10:12:00Z</dcterms:created>
  <dcterms:modified xsi:type="dcterms:W3CDTF">2018-06-03T08:46:48Z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94384b61-fbdd-41b0-84d0-5b29db546db7</vt:lpwstr>
  </property>
</Properties>
</file>